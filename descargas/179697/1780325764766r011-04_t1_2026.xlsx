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spasat-my.sharepoint.com/personal/edwin_molina_hispasat_com/Documents/Documentos/CRC MX/IFETEL 2026/Formatos T-1 2026/"/>
    </mc:Choice>
  </mc:AlternateContent>
  <xr:revisionPtr revIDLastSave="61" documentId="13_ncr:1_{FFF901C9-68C0-43BA-9CDD-CBE7A81AA21B}" xr6:coauthVersionLast="47" xr6:coauthVersionMax="47" xr10:uidLastSave="{C850B7AF-6754-44CB-8830-71826038B9B7}"/>
  <bookViews>
    <workbookView xWindow="-120" yWindow="-120" windowWidth="29040" windowHeight="15720" xr2:uid="{8CC108CC-A477-4305-9B02-1D02AF78283B}"/>
  </bookViews>
  <sheets>
    <sheet name="R011-04" sheetId="1" r:id="rId1"/>
    <sheet name="Defini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D4" i="2"/>
</calcChain>
</file>

<file path=xl/sharedStrings.xml><?xml version="1.0" encoding="utf-8"?>
<sst xmlns="http://schemas.openxmlformats.org/spreadsheetml/2006/main" count="123" uniqueCount="61">
  <si>
    <t>C501</t>
  </si>
  <si>
    <t>C502</t>
  </si>
  <si>
    <t>C402</t>
  </si>
  <si>
    <t>R011-0401</t>
  </si>
  <si>
    <t>R011-0402</t>
  </si>
  <si>
    <t xml:space="preserve">Campo </t>
  </si>
  <si>
    <t>Definición</t>
  </si>
  <si>
    <t>Año</t>
  </si>
  <si>
    <t>Trimestre</t>
  </si>
  <si>
    <t>P01</t>
  </si>
  <si>
    <t>Desagregador por
Velocidad Contratada
de Bajada</t>
  </si>
  <si>
    <t>Accesos activos con
Internet Satelital (Accesos
activos)</t>
  </si>
  <si>
    <t>Accesos activos con
red privada satelital(Accesos
activos)</t>
  </si>
  <si>
    <t>Número total de Accesos activos provistos para el
Servicio Minorista Fijo de Acceso Satelital
a Internet de red privada. Se excluyen los
Accesos que hayan sido comercializadas a
otros Operadores para su reventa. El valor a
reportar debe ser el correspondiente al último día
del período.
Un Acceso activo es aquel que cursó tráfico de
datos al menos una vez durante el periodo
a reportar.</t>
  </si>
  <si>
    <t>Número total de Accesos activos provistos para el
Servicio Minorista Fijo de Acceso Satelital
a Internet. Se excluyen los Accesos que hayan
sido comercializadas a otros Operadores para
su reventa. El valor a reportar debe ser el
correspondiente al último día del período.
Un Acceso activo es aquel que cursó tráfico de
datos al menos una vez durante el periodo
a reportar.</t>
  </si>
  <si>
    <t>menor o igual a 256 kbps</t>
  </si>
  <si>
    <t>mayor o igual a 256 kbps y menor a 1 Mbps</t>
  </si>
  <si>
    <t>mayor o igual a 1 Mbps y menor a 2 Mbps</t>
  </si>
  <si>
    <t>mayor o igual a 2 Mbps y menor a 3 Mbps</t>
  </si>
  <si>
    <t>mayor o igual a 3 Mbps y menor a 4 Mbps</t>
  </si>
  <si>
    <t>mayor o igual a 4 Mbps y menor a 5 Mbps</t>
  </si>
  <si>
    <t>mayor o igual a 5 Mbps y menor a 10 Mbps</t>
  </si>
  <si>
    <t>mayor o igual a 10 Mbps y menor a 20 Mbps</t>
  </si>
  <si>
    <t>mayor o igual a 20 Mbps y menor a 25 Mbps</t>
  </si>
  <si>
    <t>mayor o igual a 25 Mbps y menor a 30 Mbps</t>
  </si>
  <si>
    <t>mayor o igual a 30 Mbps y menor a 40 Mbps</t>
  </si>
  <si>
    <t>mayor o igual a 40 Mbps y menor a 50 Mbps</t>
  </si>
  <si>
    <t>mayor o igual a 50 Mbps y menor a 60 Mbps</t>
  </si>
  <si>
    <t>mayor o igual a 60 Mbps y menor a 70 Mbps</t>
  </si>
  <si>
    <t>mayor o igual a 70 Mbps y menor a 80 Mbps</t>
  </si>
  <si>
    <t>mayor o igual a 80 Mbps y menor a 90 Mbps</t>
  </si>
  <si>
    <t>mayor o igual a 90 Mbps y menor a 100 Mbps</t>
  </si>
  <si>
    <t>mayor o igual a 100 Mbps y menor a 200 Mbps</t>
  </si>
  <si>
    <t>mayor o igual a 200 Mbps y menor a 300 Mbps</t>
  </si>
  <si>
    <t>mayor o igual a 300 Mbps y menor a 400 Mbps</t>
  </si>
  <si>
    <t>mayor o igual a 400 Mbps y menor a 500 Mbps</t>
  </si>
  <si>
    <t>mayor o igual a 500 Mbps y menor a 1 Gbps</t>
  </si>
  <si>
    <t>mayor o igual a 1 Gbps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</si>
  <si>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</si>
  <si>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</si>
  <si>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</si>
  <si>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</si>
  <si>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</si>
  <si>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</si>
  <si>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</si>
  <si>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</si>
  <si>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</si>
  <si>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</si>
  <si>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</si>
  <si>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</si>
  <si>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</si>
  <si>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</si>
  <si>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</si>
  <si>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</si>
  <si>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</si>
  <si>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</si>
  <si>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</si>
  <si>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</si>
  <si>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</si>
  <si>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</si>
  <si>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256k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</si>
</sst>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$&quot;\ * #,##0_-;\-&quot;$&quot;\ * #,##0_-;_-&quot;$&quot;\ * &quot;-&quot;_-;_-@_-"/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rgb="FF92D050"/>
      <name val="Segoe UI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8" applyNumberFormat="0" applyAlignment="0" applyProtection="0"/>
    <xf numFmtId="0" fontId="12" fillId="8" borderId="9" applyNumberFormat="0" applyAlignment="0" applyProtection="0"/>
    <xf numFmtId="0" fontId="13" fillId="8" borderId="8" applyNumberFormat="0" applyAlignment="0" applyProtection="0"/>
    <xf numFmtId="0" fontId="14" fillId="0" borderId="10" applyNumberFormat="0" applyFill="0" applyAlignment="0" applyProtection="0"/>
    <xf numFmtId="0" fontId="15" fillId="9" borderId="11" applyNumberFormat="0" applyAlignment="0" applyProtection="0"/>
    <xf numFmtId="0" fontId="16" fillId="0" borderId="0" applyNumberFormat="0" applyFill="0" applyBorder="0" applyAlignment="0" applyProtection="0"/>
    <xf numFmtId="0" fontId="3" fillId="10" borderId="12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18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19" fillId="0" borderId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43" fontId="0" fillId="0" borderId="0" xfId="1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</cellXfs>
  <cellStyles count="7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53" builtinId="8" customBuiltin="1"/>
    <cellStyle name="Hyperlink" xfId="54" xr:uid="{6EF46F10-3C70-470E-82B7-7C8C3B197CF5}"/>
    <cellStyle name="Incorrecto" xfId="8" builtinId="27" customBuiltin="1"/>
    <cellStyle name="Millares" xfId="1" builtinId="3"/>
    <cellStyle name="Millares 2" xfId="46" xr:uid="{3A48A077-BD31-4A52-914F-07D49B03C319}"/>
    <cellStyle name="Millares 2 2" xfId="48" xr:uid="{C0170DE1-8CFF-4984-946F-DAD2E2763731}"/>
    <cellStyle name="Millares 2 2 2" xfId="52" xr:uid="{5390BA61-B4CD-4329-961B-1DCB7EDE9EE2}"/>
    <cellStyle name="Millares 2 2 2 2" xfId="73" xr:uid="{E107632A-596C-4C62-A7B9-E532ACFD81BA}"/>
    <cellStyle name="Millares 2 2 2 3" xfId="63" xr:uid="{CE814519-BD9C-4ABA-B31C-D286679B99D8}"/>
    <cellStyle name="Millares 2 2 3" xfId="69" xr:uid="{CF92D49F-C76B-4C3D-98D9-F02761D4B9D5}"/>
    <cellStyle name="Millares 2 2 4" xfId="59" xr:uid="{DE2A1E47-65CD-467A-89A7-5DD1BB017F24}"/>
    <cellStyle name="Millares 2 3" xfId="50" xr:uid="{223D380F-C87C-4C48-8137-25410D3B08F3}"/>
    <cellStyle name="Millares 2 3 2" xfId="71" xr:uid="{2DE2F42D-DBBC-4812-BA4B-1DB61AE40BD8}"/>
    <cellStyle name="Millares 2 3 3" xfId="61" xr:uid="{0FFCA632-E683-4462-9127-E90D3D545B13}"/>
    <cellStyle name="Millares 2 4" xfId="67" xr:uid="{FE8F9719-EAF2-408B-B9A9-55FBE64CB7D8}"/>
    <cellStyle name="Millares 2 5" xfId="57" xr:uid="{1E3675C5-7848-491F-BE72-8EF7287A9F2D}"/>
    <cellStyle name="Millares 3" xfId="43" xr:uid="{CAC76390-AEC6-4D03-9FE7-5EFAE6B56F04}"/>
    <cellStyle name="Millares 3 2" xfId="65" xr:uid="{4EBD2C4D-DEEE-4696-9102-3BE66E831846}"/>
    <cellStyle name="Millares 4" xfId="64" xr:uid="{7335A830-518A-4271-B080-CBEBB235B2C6}"/>
    <cellStyle name="Millares 5" xfId="55" xr:uid="{8C5D27FA-4C13-4A03-97FF-8CBB5F6E7C89}"/>
    <cellStyle name="Moneda [0] 2" xfId="44" xr:uid="{4315CBB5-34D8-45EE-866F-A4B044F75589}"/>
    <cellStyle name="Moneda [0] 2 2" xfId="47" xr:uid="{50358857-3C3C-4B1E-BCAD-E6E42649C99C}"/>
    <cellStyle name="Moneda [0] 2 2 2" xfId="51" xr:uid="{3663685A-B4B2-4DD2-AC80-88CC16B16CB4}"/>
    <cellStyle name="Moneda [0] 2 2 2 2" xfId="72" xr:uid="{9CEA4572-4D8A-433C-97F0-C5051C04BA67}"/>
    <cellStyle name="Moneda [0] 2 2 2 3" xfId="62" xr:uid="{8C08CD72-CB9F-4AF4-B977-9C6FF88F5032}"/>
    <cellStyle name="Moneda [0] 2 2 3" xfId="68" xr:uid="{9FD210E6-4A66-456F-8E69-3EF063395A95}"/>
    <cellStyle name="Moneda [0] 2 2 4" xfId="58" xr:uid="{05159043-8542-4D7D-8B3A-78C99BD66038}"/>
    <cellStyle name="Moneda [0] 2 3" xfId="49" xr:uid="{4D35CDC9-81E0-4F06-A15C-C5DFEA2E93C7}"/>
    <cellStyle name="Moneda [0] 2 3 2" xfId="70" xr:uid="{DD13AC28-7E27-41F9-8DAA-D51D237A2B6A}"/>
    <cellStyle name="Moneda [0] 2 3 3" xfId="60" xr:uid="{6AC6824F-82AF-4F32-A600-E37D07C2CD28}"/>
    <cellStyle name="Moneda [0] 2 4" xfId="66" xr:uid="{5D854BD7-4E4B-4A08-BF45-02AD63B24420}"/>
    <cellStyle name="Moneda [0] 2 5" xfId="56" xr:uid="{F1D34F09-4ED1-4B2A-834E-615BE3AC706C}"/>
    <cellStyle name="Neutral" xfId="9" builtinId="28" customBuiltin="1"/>
    <cellStyle name="Normal" xfId="0" builtinId="0"/>
    <cellStyle name="Normal 2" xfId="45" xr:uid="{2A26FBB1-037E-4A6A-9085-C7F253789E1F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8">
    <dxf>
      <fill>
        <patternFill>
          <bgColor rgb="FFE8FFD1"/>
        </patternFill>
      </fill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left style="hair">
          <color theme="4" tint="-0.249977111117893"/>
        </left>
        <right style="hair">
          <color theme="4" tint="-0.249977111117893"/>
        </right>
        <top style="hair">
          <color theme="4" tint="-0.249977111117893"/>
        </top>
        <bottom style="hair">
          <color theme="4" tint="-0.249977111117893"/>
        </bottom>
        <vertical style="hair">
          <color theme="4" tint="-0.249977111117893"/>
        </vertical>
        <horizontal style="hair">
          <color theme="4" tint="-0.249977111117893"/>
        </horizontal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 style="hair">
          <color theme="1"/>
        </vertical>
        <horizontal style="hair">
          <color theme="1"/>
        </horizontal>
      </border>
    </dxf>
  </dxfs>
  <tableStyles count="4" defaultTableStyle="TableStyleMedium2" defaultPivotStyle="PivotStyleLight16">
    <tableStyle name="PivotStyleMedium2 2" table="0" count="13" xr9:uid="{849FD5A2-D01B-4A80-B478-D6ECE243DAB4}">
      <tableStyleElement type="wholeTable" dxfId="17"/>
      <tableStyleElement type="headerRow" dxfId="16"/>
      <tableStyleElement type="totalRow" dxfId="15"/>
      <tableStyleElement type="firstRowStripe" dxfId="14"/>
      <tableStyleElement type="firstColumnStripe" dxfId="13"/>
      <tableStyleElement type="firstHeaderCell" dxfId="12"/>
      <tableStyleElement type="firstSubtotalRow" dxfId="11"/>
      <tableStyleElement type="secondSubtotalRow" dxfId="10"/>
      <tableStyleElement type="firstColumnSubheading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  <tableStyle name="Segmento_propio_1" pivot="0" table="0" count="2" xr9:uid="{01B1D870-F29C-412A-B0B5-FCEE2E7E5F88}">
      <tableStyleElement type="wholeTable" dxfId="4"/>
      <tableStyleElement type="headerRow" dxfId="3"/>
    </tableStyle>
    <tableStyle name="Segmento_propio_1 2" pivot="0" table="0" count="2" xr9:uid="{46CD9704-ECA4-4508-8B18-AEC81FB9DA38}">
      <tableStyleElement type="wholeTable" dxfId="2"/>
      <tableStyleElement type="headerRow" dxfId="1"/>
    </tableStyle>
    <tableStyle name="Estilo de tabla 5" pivot="0" count="1" xr9:uid="{4CC8B488-2A04-48A6-B515-61DFDA730661}">
      <tableStyleElement type="firstRowStripe" dxfId="0"/>
    </tableStyle>
  </tableStyles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20"/>
  <sheetViews>
    <sheetView tabSelected="1" workbookViewId="0">
      <selection activeCell="D7" sqref="D7"/>
    </sheetView>
  </sheetViews>
  <sheetFormatPr baseColWidth="10" defaultColWidth="11.42578125" defaultRowHeight="15" x14ac:dyDescent="0.25"/>
  <cols>
    <col min="1" max="2" width="11.42578125" style="5"/>
    <col min="3" max="3" width="23.7109375" style="5" customWidth="1"/>
    <col min="4" max="4" width="19.85546875" style="5" customWidth="1"/>
    <col min="5" max="5" width="19.28515625" style="5" customWidth="1"/>
    <col min="6" max="16384" width="11.42578125" style="5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60" x14ac:dyDescent="0.25">
      <c r="A2" s="8" t="s">
        <v>7</v>
      </c>
      <c r="B2" s="8" t="s">
        <v>8</v>
      </c>
      <c r="C2" s="8" t="s">
        <v>10</v>
      </c>
      <c r="D2" s="8" t="s">
        <v>11</v>
      </c>
      <c r="E2" s="8" t="s">
        <v>12</v>
      </c>
    </row>
    <row r="3" spans="1:5" x14ac:dyDescent="0.25">
      <c r="A3" s="9">
        <v>2026</v>
      </c>
      <c r="B3" s="9" t="s">
        <v>9</v>
      </c>
      <c r="C3" s="9" t="s">
        <v>9</v>
      </c>
      <c r="D3" s="9">
        <v>10</v>
      </c>
      <c r="E3" s="9">
        <v>22</v>
      </c>
    </row>
    <row r="4" spans="1:5" x14ac:dyDescent="0.25">
      <c r="A4" s="9">
        <v>2026</v>
      </c>
      <c r="B4" s="9" t="s">
        <v>9</v>
      </c>
      <c r="C4" s="9" t="s">
        <v>38</v>
      </c>
      <c r="D4" s="9">
        <v>33</v>
      </c>
      <c r="E4" s="9">
        <v>43</v>
      </c>
    </row>
    <row r="5" spans="1:5" x14ac:dyDescent="0.25">
      <c r="A5" s="9">
        <v>2026</v>
      </c>
      <c r="B5" s="9" t="s">
        <v>9</v>
      </c>
      <c r="C5" s="9" t="s">
        <v>39</v>
      </c>
      <c r="D5" s="9">
        <v>57</v>
      </c>
      <c r="E5" s="9">
        <v>89</v>
      </c>
    </row>
    <row r="6" spans="1:5" x14ac:dyDescent="0.25">
      <c r="A6" s="9">
        <v>2026</v>
      </c>
      <c r="B6" s="9" t="s">
        <v>9</v>
      </c>
      <c r="C6" s="9" t="s">
        <v>39</v>
      </c>
      <c r="D6" s="9">
        <v>91</v>
      </c>
      <c r="E6" s="9">
        <v>16</v>
      </c>
    </row>
    <row r="7" spans="1:5" x14ac:dyDescent="0.25">
      <c r="A7" s="9">
        <v>2026</v>
      </c>
      <c r="B7" s="9" t="s">
        <v>9</v>
      </c>
      <c r="C7" s="9" t="s">
        <v>39</v>
      </c>
      <c r="D7" s="9">
        <v>9</v>
      </c>
      <c r="E7" s="9">
        <v>0</v>
      </c>
    </row>
    <row r="8" spans="1:5" x14ac:dyDescent="0.25">
      <c r="A8" s="9">
        <v>2026</v>
      </c>
      <c r="B8" s="9" t="s">
        <v>9</v>
      </c>
      <c r="C8" s="9" t="s">
        <v>39</v>
      </c>
      <c r="D8" s="9">
        <v>15</v>
      </c>
      <c r="E8" s="9">
        <v>0</v>
      </c>
    </row>
    <row r="9" spans="1:5" x14ac:dyDescent="0.25">
      <c r="A9" s="9">
        <v>2026</v>
      </c>
      <c r="B9" s="9" t="s">
        <v>9</v>
      </c>
      <c r="C9" s="9" t="s">
        <v>39</v>
      </c>
      <c r="D9" s="9">
        <v>148</v>
      </c>
      <c r="E9" s="9">
        <v>101</v>
      </c>
    </row>
    <row r="10" spans="1:5" x14ac:dyDescent="0.25">
      <c r="A10" s="9">
        <v>2026</v>
      </c>
      <c r="B10" s="9" t="s">
        <v>9</v>
      </c>
      <c r="C10" s="9" t="s">
        <v>39</v>
      </c>
      <c r="D10" s="9">
        <v>13</v>
      </c>
      <c r="E10" s="9">
        <v>206</v>
      </c>
    </row>
    <row r="11" spans="1:5" x14ac:dyDescent="0.25">
      <c r="A11" s="9">
        <v>2026</v>
      </c>
      <c r="B11" s="9" t="s">
        <v>9</v>
      </c>
      <c r="C11" s="9" t="s">
        <v>39</v>
      </c>
      <c r="D11" s="9">
        <v>7</v>
      </c>
      <c r="E11" s="9">
        <v>576</v>
      </c>
    </row>
    <row r="12" spans="1:5" x14ac:dyDescent="0.25">
      <c r="A12" s="9">
        <v>2026</v>
      </c>
      <c r="B12" s="9" t="s">
        <v>9</v>
      </c>
      <c r="C12" s="9" t="s">
        <v>39</v>
      </c>
      <c r="D12" s="9">
        <v>0</v>
      </c>
      <c r="E12" s="9">
        <v>63</v>
      </c>
    </row>
    <row r="13" spans="1:5" x14ac:dyDescent="0.25">
      <c r="A13" s="9">
        <v>2026</v>
      </c>
      <c r="B13" s="9" t="s">
        <v>9</v>
      </c>
      <c r="C13" s="9" t="s">
        <v>39</v>
      </c>
      <c r="D13" s="9">
        <v>8</v>
      </c>
      <c r="E13" s="9">
        <v>43</v>
      </c>
    </row>
    <row r="14" spans="1:5" x14ac:dyDescent="0.25">
      <c r="A14" s="9">
        <v>2026</v>
      </c>
      <c r="B14" s="9" t="s">
        <v>9</v>
      </c>
      <c r="C14" s="9" t="s">
        <v>39</v>
      </c>
      <c r="D14" s="9">
        <v>1</v>
      </c>
      <c r="E14" s="9">
        <v>0</v>
      </c>
    </row>
    <row r="15" spans="1:5" x14ac:dyDescent="0.25">
      <c r="A15" s="9">
        <v>2026</v>
      </c>
      <c r="B15" s="9" t="s">
        <v>9</v>
      </c>
      <c r="C15" s="9" t="s">
        <v>39</v>
      </c>
      <c r="D15" s="9">
        <v>40</v>
      </c>
      <c r="E15" s="9">
        <v>441</v>
      </c>
    </row>
    <row r="16" spans="1:5" x14ac:dyDescent="0.25">
      <c r="A16" s="9">
        <v>2026</v>
      </c>
      <c r="B16" s="9" t="s">
        <v>9</v>
      </c>
      <c r="C16" s="9" t="s">
        <v>39</v>
      </c>
      <c r="D16" s="9">
        <v>1</v>
      </c>
      <c r="E16" s="9">
        <v>0</v>
      </c>
    </row>
    <row r="17" spans="1:5" x14ac:dyDescent="0.25">
      <c r="A17" s="9">
        <v>2026</v>
      </c>
      <c r="B17" s="9" t="s">
        <v>9</v>
      </c>
      <c r="C17" s="9" t="s">
        <v>39</v>
      </c>
      <c r="D17" s="9">
        <v>4</v>
      </c>
      <c r="E17" s="9">
        <v>1</v>
      </c>
    </row>
    <row r="18" spans="1:5" x14ac:dyDescent="0.25">
      <c r="A18" s="9">
        <v>2026</v>
      </c>
      <c r="B18" s="9" t="s">
        <v>9</v>
      </c>
      <c r="C18" s="9" t="s">
        <v>39</v>
      </c>
      <c r="D18" s="9">
        <v>0</v>
      </c>
      <c r="E18" s="9">
        <v>2</v>
      </c>
    </row>
    <row r="19" spans="1:5" x14ac:dyDescent="0.25">
      <c r="A19" s="9">
        <v>2026</v>
      </c>
      <c r="B19" s="9" t="s">
        <v>9</v>
      </c>
      <c r="C19" s="9" t="s">
        <v>39</v>
      </c>
      <c r="D19" s="9">
        <v>2</v>
      </c>
      <c r="E19" s="9">
        <v>0</v>
      </c>
    </row>
    <row r="20" spans="1:5" x14ac:dyDescent="0.25">
      <c r="A20" s="9">
        <v>2026</v>
      </c>
      <c r="B20" s="9" t="s">
        <v>9</v>
      </c>
      <c r="C20" s="9" t="s">
        <v>39</v>
      </c>
      <c r="D20" s="9">
        <v>6</v>
      </c>
      <c r="E20" s="9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C9AC-3B18-4507-88FD-53667BFC9941}">
  <dimension ref="A1:H26"/>
  <sheetViews>
    <sheetView topLeftCell="A3" workbookViewId="0">
      <selection activeCell="A4" sqref="A4:A26"/>
    </sheetView>
  </sheetViews>
  <sheetFormatPr baseColWidth="10" defaultRowHeight="15" x14ac:dyDescent="0.25"/>
  <cols>
    <col min="1" max="1" width="15.140625" customWidth="1"/>
    <col min="2" max="2" width="39.28515625" customWidth="1"/>
  </cols>
  <sheetData>
    <row r="1" spans="1:6" x14ac:dyDescent="0.25">
      <c r="A1" s="1" t="s">
        <v>5</v>
      </c>
      <c r="B1" s="1" t="s">
        <v>6</v>
      </c>
    </row>
    <row r="2" spans="1:6" ht="133.5" customHeight="1" x14ac:dyDescent="0.25">
      <c r="A2" s="1" t="s">
        <v>3</v>
      </c>
      <c r="B2" s="2" t="s">
        <v>14</v>
      </c>
    </row>
    <row r="3" spans="1:6" ht="133.5" customHeight="1" x14ac:dyDescent="0.25">
      <c r="A3" s="3" t="s">
        <v>4</v>
      </c>
      <c r="B3" s="4" t="s">
        <v>13</v>
      </c>
    </row>
    <row r="4" spans="1:6" x14ac:dyDescent="0.25">
      <c r="A4" s="10" t="s">
        <v>2</v>
      </c>
      <c r="B4" s="4" t="s">
        <v>15</v>
      </c>
      <c r="C4" s="6" t="s">
        <v>9</v>
      </c>
      <c r="D4" s="7">
        <f>1/4</f>
        <v>0.25</v>
      </c>
      <c r="E4" t="s">
        <v>60</v>
      </c>
      <c r="F4" s="6" t="s">
        <v>9</v>
      </c>
    </row>
    <row r="5" spans="1:6" x14ac:dyDescent="0.25">
      <c r="A5" s="11"/>
      <c r="B5" s="4" t="s">
        <v>16</v>
      </c>
      <c r="C5" s="6" t="s">
        <v>38</v>
      </c>
      <c r="D5">
        <v>1</v>
      </c>
      <c r="E5">
        <f>D5*1024-1</f>
        <v>1023</v>
      </c>
      <c r="F5" s="6" t="s">
        <v>38</v>
      </c>
    </row>
    <row r="6" spans="1:6" x14ac:dyDescent="0.25">
      <c r="A6" s="11"/>
      <c r="B6" s="4" t="s">
        <v>17</v>
      </c>
      <c r="C6" s="6" t="s">
        <v>39</v>
      </c>
      <c r="D6">
        <v>2</v>
      </c>
      <c r="E6">
        <f t="shared" ref="E6:E24" si="0">D6*1024-1</f>
        <v>2047</v>
      </c>
      <c r="F6" s="6" t="s">
        <v>39</v>
      </c>
    </row>
    <row r="7" spans="1:6" x14ac:dyDescent="0.25">
      <c r="A7" s="11"/>
      <c r="B7" s="4" t="s">
        <v>18</v>
      </c>
      <c r="C7" s="6" t="s">
        <v>40</v>
      </c>
      <c r="D7">
        <v>3</v>
      </c>
      <c r="E7">
        <f t="shared" si="0"/>
        <v>3071</v>
      </c>
      <c r="F7" s="6" t="s">
        <v>40</v>
      </c>
    </row>
    <row r="8" spans="1:6" x14ac:dyDescent="0.25">
      <c r="A8" s="11"/>
      <c r="B8" s="4" t="s">
        <v>19</v>
      </c>
      <c r="C8" s="6" t="s">
        <v>41</v>
      </c>
      <c r="D8">
        <v>4</v>
      </c>
      <c r="E8">
        <f t="shared" si="0"/>
        <v>4095</v>
      </c>
      <c r="F8" s="6" t="s">
        <v>41</v>
      </c>
    </row>
    <row r="9" spans="1:6" x14ac:dyDescent="0.25">
      <c r="A9" s="11"/>
      <c r="B9" s="4" t="s">
        <v>20</v>
      </c>
      <c r="C9" s="6" t="s">
        <v>42</v>
      </c>
      <c r="D9">
        <v>5</v>
      </c>
      <c r="E9">
        <f t="shared" si="0"/>
        <v>5119</v>
      </c>
      <c r="F9" s="6" t="s">
        <v>42</v>
      </c>
    </row>
    <row r="10" spans="1:6" x14ac:dyDescent="0.25">
      <c r="A10" s="11"/>
      <c r="B10" s="4" t="s">
        <v>21</v>
      </c>
      <c r="C10" s="6" t="s">
        <v>43</v>
      </c>
      <c r="D10">
        <v>10</v>
      </c>
      <c r="E10">
        <f t="shared" si="0"/>
        <v>10239</v>
      </c>
      <c r="F10" s="6" t="s">
        <v>43</v>
      </c>
    </row>
    <row r="11" spans="1:6" ht="30" x14ac:dyDescent="0.25">
      <c r="A11" s="11"/>
      <c r="B11" s="4" t="s">
        <v>22</v>
      </c>
      <c r="C11" s="6" t="s">
        <v>44</v>
      </c>
      <c r="D11">
        <v>20</v>
      </c>
      <c r="E11">
        <f t="shared" si="0"/>
        <v>20479</v>
      </c>
      <c r="F11" s="6" t="s">
        <v>44</v>
      </c>
    </row>
    <row r="12" spans="1:6" ht="30" x14ac:dyDescent="0.25">
      <c r="A12" s="11"/>
      <c r="B12" s="4" t="s">
        <v>23</v>
      </c>
      <c r="C12" s="6" t="s">
        <v>45</v>
      </c>
      <c r="D12">
        <v>25</v>
      </c>
      <c r="E12">
        <f t="shared" si="0"/>
        <v>25599</v>
      </c>
      <c r="F12" s="6" t="s">
        <v>45</v>
      </c>
    </row>
    <row r="13" spans="1:6" ht="30" x14ac:dyDescent="0.25">
      <c r="A13" s="11"/>
      <c r="B13" s="4" t="s">
        <v>24</v>
      </c>
      <c r="C13" s="6" t="s">
        <v>46</v>
      </c>
      <c r="D13">
        <v>30</v>
      </c>
      <c r="E13">
        <f t="shared" si="0"/>
        <v>30719</v>
      </c>
      <c r="F13" s="6" t="s">
        <v>46</v>
      </c>
    </row>
    <row r="14" spans="1:6" ht="30" x14ac:dyDescent="0.25">
      <c r="A14" s="11"/>
      <c r="B14" s="4" t="s">
        <v>25</v>
      </c>
      <c r="C14" s="6" t="s">
        <v>47</v>
      </c>
      <c r="D14">
        <v>40</v>
      </c>
      <c r="E14">
        <f t="shared" si="0"/>
        <v>40959</v>
      </c>
      <c r="F14" s="6" t="s">
        <v>47</v>
      </c>
    </row>
    <row r="15" spans="1:6" ht="30" x14ac:dyDescent="0.25">
      <c r="A15" s="11"/>
      <c r="B15" s="4" t="s">
        <v>26</v>
      </c>
      <c r="C15" s="6" t="s">
        <v>48</v>
      </c>
      <c r="D15">
        <v>50</v>
      </c>
      <c r="E15">
        <f t="shared" si="0"/>
        <v>51199</v>
      </c>
      <c r="F15" s="6" t="s">
        <v>48</v>
      </c>
    </row>
    <row r="16" spans="1:6" ht="30" x14ac:dyDescent="0.25">
      <c r="A16" s="11"/>
      <c r="B16" s="4" t="s">
        <v>27</v>
      </c>
      <c r="C16" s="6" t="s">
        <v>49</v>
      </c>
      <c r="D16">
        <v>60</v>
      </c>
      <c r="E16">
        <f t="shared" si="0"/>
        <v>61439</v>
      </c>
      <c r="F16" s="6" t="s">
        <v>49</v>
      </c>
    </row>
    <row r="17" spans="1:8" ht="30" x14ac:dyDescent="0.25">
      <c r="A17" s="11"/>
      <c r="B17" s="4" t="s">
        <v>28</v>
      </c>
      <c r="C17" s="6" t="s">
        <v>50</v>
      </c>
      <c r="D17">
        <v>70</v>
      </c>
      <c r="E17">
        <f t="shared" si="0"/>
        <v>71679</v>
      </c>
      <c r="F17" s="6" t="s">
        <v>50</v>
      </c>
    </row>
    <row r="18" spans="1:8" ht="30" x14ac:dyDescent="0.25">
      <c r="A18" s="11"/>
      <c r="B18" s="4" t="s">
        <v>29</v>
      </c>
      <c r="C18" s="6" t="s">
        <v>51</v>
      </c>
      <c r="D18">
        <v>80</v>
      </c>
      <c r="E18">
        <f t="shared" si="0"/>
        <v>81919</v>
      </c>
      <c r="F18" s="6" t="s">
        <v>51</v>
      </c>
    </row>
    <row r="19" spans="1:8" ht="30" x14ac:dyDescent="0.25">
      <c r="A19" s="11"/>
      <c r="B19" s="4" t="s">
        <v>30</v>
      </c>
      <c r="C19" s="6" t="s">
        <v>52</v>
      </c>
      <c r="D19">
        <v>90</v>
      </c>
      <c r="E19">
        <f t="shared" si="0"/>
        <v>92159</v>
      </c>
      <c r="F19" s="6" t="s">
        <v>52</v>
      </c>
    </row>
    <row r="20" spans="1:8" ht="30" x14ac:dyDescent="0.25">
      <c r="A20" s="11"/>
      <c r="B20" s="4" t="s">
        <v>31</v>
      </c>
      <c r="C20" s="6" t="s">
        <v>53</v>
      </c>
      <c r="D20">
        <v>100</v>
      </c>
      <c r="E20">
        <f t="shared" si="0"/>
        <v>102399</v>
      </c>
      <c r="F20" s="6" t="s">
        <v>53</v>
      </c>
    </row>
    <row r="21" spans="1:8" ht="30" x14ac:dyDescent="0.25">
      <c r="A21" s="11"/>
      <c r="B21" s="4" t="s">
        <v>32</v>
      </c>
      <c r="C21" s="6" t="s">
        <v>54</v>
      </c>
      <c r="D21">
        <v>200</v>
      </c>
      <c r="E21">
        <f t="shared" si="0"/>
        <v>204799</v>
      </c>
      <c r="F21" s="6" t="s">
        <v>54</v>
      </c>
    </row>
    <row r="22" spans="1:8" ht="30" x14ac:dyDescent="0.25">
      <c r="A22" s="11"/>
      <c r="B22" s="4" t="s">
        <v>33</v>
      </c>
      <c r="C22" s="6" t="s">
        <v>55</v>
      </c>
      <c r="D22">
        <v>300</v>
      </c>
      <c r="E22">
        <f t="shared" si="0"/>
        <v>307199</v>
      </c>
      <c r="F22" s="6" t="s">
        <v>55</v>
      </c>
    </row>
    <row r="23" spans="1:8" ht="30" x14ac:dyDescent="0.25">
      <c r="A23" s="11"/>
      <c r="B23" s="4" t="s">
        <v>34</v>
      </c>
      <c r="C23" s="6" t="s">
        <v>56</v>
      </c>
      <c r="D23">
        <v>400</v>
      </c>
      <c r="E23">
        <f t="shared" si="0"/>
        <v>409599</v>
      </c>
      <c r="F23" s="6" t="s">
        <v>56</v>
      </c>
    </row>
    <row r="24" spans="1:8" ht="30" x14ac:dyDescent="0.25">
      <c r="A24" s="11"/>
      <c r="B24" s="4" t="s">
        <v>35</v>
      </c>
      <c r="C24" s="6" t="s">
        <v>57</v>
      </c>
      <c r="D24">
        <v>500</v>
      </c>
      <c r="E24">
        <f t="shared" si="0"/>
        <v>511999</v>
      </c>
      <c r="F24" s="6" t="s">
        <v>57</v>
      </c>
    </row>
    <row r="25" spans="1:8" x14ac:dyDescent="0.25">
      <c r="A25" s="11"/>
      <c r="B25" s="4" t="s">
        <v>36</v>
      </c>
      <c r="C25" s="6" t="s">
        <v>58</v>
      </c>
      <c r="D25">
        <v>1000</v>
      </c>
      <c r="E25">
        <f>D25*1024</f>
        <v>1024000</v>
      </c>
      <c r="F25" s="6" t="s">
        <v>58</v>
      </c>
      <c r="H25">
        <v>1024000</v>
      </c>
    </row>
    <row r="26" spans="1:8" x14ac:dyDescent="0.25">
      <c r="A26" s="11"/>
      <c r="B26" s="2" t="s">
        <v>37</v>
      </c>
      <c r="C26" s="6" t="s">
        <v>59</v>
      </c>
      <c r="F26" s="6" t="s">
        <v>59</v>
      </c>
    </row>
  </sheetData>
  <mergeCells count="1">
    <mergeCell ref="A4:A26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C9FC7705D56A41B1F5B791694DA21A" ma:contentTypeVersion="31" ma:contentTypeDescription="Crear nuevo documento." ma:contentTypeScope="" ma:versionID="c34fce98f3452b05ce601e160d139a15">
  <xsd:schema xmlns:xsd="http://www.w3.org/2001/XMLSchema" xmlns:xs="http://www.w3.org/2001/XMLSchema" xmlns:p="http://schemas.microsoft.com/office/2006/metadata/properties" xmlns:ns2="39e4760d-38f5-4abd-8023-3ea75d84062a" xmlns:ns3="70c46d91-a4c8-4187-9de5-297c8f8ba7a7" targetNamespace="http://schemas.microsoft.com/office/2006/metadata/properties" ma:root="true" ma:fieldsID="9f8106fc322ee237ce625615b26db843" ns2:_="" ns3:_="">
    <xsd:import namespace="39e4760d-38f5-4abd-8023-3ea75d84062a"/>
    <xsd:import namespace="70c46d91-a4c8-4187-9de5-297c8f8ba7a7"/>
    <xsd:element name="properties">
      <xsd:complexType>
        <xsd:sequence>
          <xsd:element name="documentManagement">
            <xsd:complexType>
              <xsd:all>
                <xsd:element ref="ns2:_Source" minOccurs="0"/>
                <xsd:element ref="ns2:Tipo" minOccurs="0"/>
                <xsd:element ref="ns2:e229c6ffcf584ba380ac047520b3f01e" minOccurs="0"/>
                <xsd:element ref="ns3:TaxCatchAll" minOccurs="0"/>
                <xsd:element ref="ns2:Cliente" minOccurs="0"/>
                <xsd:element ref="ns2:Pa_x00ed_s" minOccurs="0"/>
                <xsd:element ref="ns2:Re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4760d-38f5-4abd-8023-3ea75d84062a" elementFormDefault="qualified">
    <xsd:import namespace="http://schemas.microsoft.com/office/2006/documentManagement/types"/>
    <xsd:import namespace="http://schemas.microsoft.com/office/infopath/2007/PartnerControls"/>
    <xsd:element name="_Source" ma:index="4" nillable="true" ma:displayName="_Source" ma:internalName="_Source" ma:readOnly="false">
      <xsd:simpleType>
        <xsd:restriction base="dms:Note">
          <xsd:maxLength value="255"/>
        </xsd:restriction>
      </xsd:simpleType>
    </xsd:element>
    <xsd:element name="Tipo" ma:index="5" nillable="true" ma:displayName="Tipo" ma:internalName="Tipo" ma:readOnly="false">
      <xsd:simpleType>
        <xsd:restriction base="dms:Text">
          <xsd:maxLength value="255"/>
        </xsd:restriction>
      </xsd:simpleType>
    </xsd:element>
    <xsd:element name="e229c6ffcf584ba380ac047520b3f01e" ma:index="7" nillable="true" ma:displayName="Compañia_0" ma:hidden="true" ma:internalName="e229c6ffcf584ba380ac047520b3f01e" ma:readOnly="false">
      <xsd:simpleType>
        <xsd:restriction base="dms:Note"/>
      </xsd:simpleType>
    </xsd:element>
    <xsd:element name="Cliente" ma:index="9" nillable="true" ma:displayName="Cliente" ma:internalName="Cliente" ma:readOnly="false">
      <xsd:simpleType>
        <xsd:restriction base="dms:Text">
          <xsd:maxLength value="255"/>
        </xsd:restriction>
      </xsd:simpleType>
    </xsd:element>
    <xsd:element name="Pa_x00ed_s" ma:index="10" nillable="true" ma:displayName="País" ma:internalName="Pa_x00ed_s" ma:readOnly="false">
      <xsd:simpleType>
        <xsd:restriction base="dms:Text">
          <xsd:maxLength value="255"/>
        </xsd:restriction>
      </xsd:simpleType>
    </xsd:element>
    <xsd:element name="Red" ma:index="11" nillable="true" ma:displayName="Red" ma:internalName="Red" ma:readOnly="false">
      <xsd:simpleType>
        <xsd:restriction base="dms:Text">
          <xsd:maxLength value="255"/>
        </xsd:restriction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1a949b99-84ec-4914-bb4a-400d07326e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46d91-a4c8-4187-9de5-297c8f8ba7a7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16bae86-08ea-4909-90e1-1ec09e747d95}" ma:internalName="TaxCatchAll" ma:showField="CatchAllData" ma:web="70c46d91-a4c8-4187-9de5-297c8f8ba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 xmlns="39e4760d-38f5-4abd-8023-3ea75d84062a" xsi:nil="true"/>
    <e229c6ffcf584ba380ac047520b3f01e xmlns="39e4760d-38f5-4abd-8023-3ea75d84062a" xsi:nil="true"/>
    <Pa_x00ed_s xmlns="39e4760d-38f5-4abd-8023-3ea75d84062a" xsi:nil="true"/>
    <_Source xmlns="39e4760d-38f5-4abd-8023-3ea75d84062a" xsi:nil="true"/>
    <TaxCatchAll xmlns="70c46d91-a4c8-4187-9de5-297c8f8ba7a7" xsi:nil="true"/>
    <Cliente xmlns="39e4760d-38f5-4abd-8023-3ea75d84062a" xsi:nil="true"/>
    <Red xmlns="39e4760d-38f5-4abd-8023-3ea75d84062a" xsi:nil="true"/>
    <lcf76f155ced4ddcb4097134ff3c332f xmlns="39e4760d-38f5-4abd-8023-3ea75d8406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C099F0-DD0A-4174-AC20-BB85A897E0E5}"/>
</file>

<file path=customXml/itemProps2.xml><?xml version="1.0" encoding="utf-8"?>
<ds:datastoreItem xmlns:ds="http://schemas.openxmlformats.org/officeDocument/2006/customXml" ds:itemID="{E16EBC54-9254-4B19-9345-81FDA982EE58}"/>
</file>

<file path=customXml/itemProps3.xml><?xml version="1.0" encoding="utf-8"?>
<ds:datastoreItem xmlns:ds="http://schemas.openxmlformats.org/officeDocument/2006/customXml" ds:itemID="{BAAD4BA4-CC86-49A5-9C02-E1B2A0D4D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R011-04</vt:lpstr>
      <vt:lpstr>Definiciones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Edwin Alonso Molina</cp:lastModifiedBy>
  <cp:revision/>
  <dcterms:created xsi:type="dcterms:W3CDTF">2023-09-07T15:24:12Z</dcterms:created>
  <dcterms:modified xsi:type="dcterms:W3CDTF">2026-05-22T21:35:39Z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0x010100FDC9FC7705D56A41B1F5B791694DA21A</vt:lpwstr>
  </property>
  <property fmtid="{D5CDD505-2E9C-101B-9397-08002B2CF9AE}" pid="3" name="Compañia">
    <vt:lpwstr/>
  </property>
  <property fmtid="{D5CDD505-2E9C-101B-9397-08002B2CF9AE}" pid="4" name="Compa_x00f1_ia">
    <vt:lpwstr/>
  </property>
</Properties>
</file>