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Z:\SIERRA MADRE\11 CONCESION\11.2 OBLIGACIONES\INFORMACION ESTADISTICA\2025\R002\"/>
    </mc:Choice>
  </mc:AlternateContent>
  <xr:revisionPtr revIDLastSave="0" documentId="13_ncr:1_{4757728E-C604-4533-AAC8-3D2D56882D3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002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2BbhK+zDi4kfgPbJJWIpZCMOvb3JTWgPfB5T88KquuY="/>
    </ext>
  </extLst>
</workbook>
</file>

<file path=xl/calcChain.xml><?xml version="1.0" encoding="utf-8"?>
<calcChain xmlns="http://schemas.openxmlformats.org/spreadsheetml/2006/main">
  <c r="F16" i="1" l="1"/>
  <c r="F3" i="1" s="1"/>
  <c r="D16" i="1"/>
  <c r="D3" i="1" s="1"/>
  <c r="B16" i="1"/>
  <c r="B3" i="1" s="1"/>
</calcChain>
</file>

<file path=xl/sharedStrings.xml><?xml version="1.0" encoding="utf-8"?>
<sst xmlns="http://schemas.openxmlformats.org/spreadsheetml/2006/main" count="20" uniqueCount="19">
  <si>
    <t>C501 </t>
  </si>
  <si>
    <t>R002-0201 </t>
  </si>
  <si>
    <t>R002-0202 </t>
  </si>
  <si>
    <t>R002-0203 </t>
  </si>
  <si>
    <t>R002-0204 </t>
  </si>
  <si>
    <t>R002-0205 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</si>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</sst>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A8D08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C24" sqref="C24"/>
    </sheetView>
  </sheetViews>
  <sheetFormatPr baseColWidth="10" defaultColWidth="14.453125" defaultRowHeight="15" customHeight="1" x14ac:dyDescent="0.35"/>
  <cols>
    <col min="1" max="1" width="11.453125" customWidth="1"/>
    <col min="2" max="6" width="22" customWidth="1"/>
    <col min="7" max="26" width="11.453125" customWidth="1"/>
  </cols>
  <sheetData>
    <row r="1" spans="1:7" ht="14.5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7" ht="4" customHeight="1" x14ac:dyDescent="0.35">
      <c r="A2" s="7"/>
      <c r="B2" s="7"/>
      <c r="C2" s="7"/>
      <c r="D2" s="7"/>
      <c r="E2" s="7"/>
      <c r="F2" s="7"/>
    </row>
    <row r="3" spans="1:7" ht="14.5" x14ac:dyDescent="0.35">
      <c r="A3" s="1">
        <v>2025</v>
      </c>
      <c r="B3" s="2">
        <f>B16/1.16</f>
        <v>14692195.741379313</v>
      </c>
      <c r="C3" s="3" t="s">
        <v>18</v>
      </c>
      <c r="D3" s="2">
        <f>D16/1.16</f>
        <v>9227755.5172413811</v>
      </c>
      <c r="E3" s="3" t="s">
        <v>18</v>
      </c>
      <c r="F3" s="2">
        <f>F16/1.16</f>
        <v>26170997.681034487</v>
      </c>
    </row>
    <row r="4" spans="1:7" ht="14.5" hidden="1" x14ac:dyDescent="0.35">
      <c r="A4" s="4" t="s">
        <v>6</v>
      </c>
      <c r="B4" s="5">
        <v>1083864.29</v>
      </c>
      <c r="C4" s="5"/>
      <c r="D4" s="5">
        <v>1091245.8700000001</v>
      </c>
      <c r="E4" s="5"/>
      <c r="F4" s="5">
        <v>3238664.1</v>
      </c>
      <c r="G4" s="5"/>
    </row>
    <row r="5" spans="1:7" ht="14.5" hidden="1" x14ac:dyDescent="0.35">
      <c r="A5" s="4" t="s">
        <v>7</v>
      </c>
      <c r="B5" s="5">
        <v>1378131.18</v>
      </c>
      <c r="C5" s="5"/>
      <c r="D5" s="5">
        <v>718550.99</v>
      </c>
      <c r="E5" s="5"/>
      <c r="F5" s="5">
        <v>1508692.93</v>
      </c>
      <c r="G5" s="5"/>
    </row>
    <row r="6" spans="1:7" ht="14.5" hidden="1" x14ac:dyDescent="0.35">
      <c r="A6" s="4" t="s">
        <v>8</v>
      </c>
      <c r="B6" s="5">
        <v>1344464.55</v>
      </c>
      <c r="C6" s="5"/>
      <c r="D6" s="5">
        <v>1110927.1200000001</v>
      </c>
      <c r="E6" s="5"/>
      <c r="F6" s="5">
        <v>1433913.15</v>
      </c>
      <c r="G6" s="5"/>
    </row>
    <row r="7" spans="1:7" ht="14.5" hidden="1" x14ac:dyDescent="0.35">
      <c r="A7" s="4" t="s">
        <v>9</v>
      </c>
      <c r="B7" s="5">
        <v>1338395.1200000001</v>
      </c>
      <c r="C7" s="5"/>
      <c r="D7" s="5">
        <v>594115.38</v>
      </c>
      <c r="E7" s="5"/>
      <c r="F7" s="5">
        <v>1828185.21</v>
      </c>
      <c r="G7" s="5"/>
    </row>
    <row r="8" spans="1:7" ht="14.5" hidden="1" x14ac:dyDescent="0.35">
      <c r="A8" s="4" t="s">
        <v>10</v>
      </c>
      <c r="B8" s="5">
        <v>1398855.46</v>
      </c>
      <c r="C8" s="5"/>
      <c r="D8" s="5">
        <v>1053301.3700000001</v>
      </c>
      <c r="E8" s="5"/>
      <c r="F8" s="5">
        <v>3313697.56</v>
      </c>
      <c r="G8" s="5"/>
    </row>
    <row r="9" spans="1:7" ht="14.5" hidden="1" x14ac:dyDescent="0.35">
      <c r="A9" s="4" t="s">
        <v>11</v>
      </c>
      <c r="B9" s="5">
        <v>1136044.82</v>
      </c>
      <c r="C9" s="5"/>
      <c r="D9" s="5">
        <v>948845.09</v>
      </c>
      <c r="E9" s="5"/>
      <c r="F9" s="5">
        <v>1261747.21</v>
      </c>
      <c r="G9" s="5"/>
    </row>
    <row r="10" spans="1:7" ht="14.5" hidden="1" x14ac:dyDescent="0.35">
      <c r="A10" s="4" t="s">
        <v>12</v>
      </c>
      <c r="B10" s="5">
        <v>1336196.52</v>
      </c>
      <c r="C10" s="5"/>
      <c r="D10" s="5">
        <v>821068.98</v>
      </c>
      <c r="E10" s="5"/>
      <c r="F10" s="5">
        <v>2172458.7000000002</v>
      </c>
      <c r="G10" s="5"/>
    </row>
    <row r="11" spans="1:7" ht="14.5" hidden="1" x14ac:dyDescent="0.35">
      <c r="A11" s="4" t="s">
        <v>13</v>
      </c>
      <c r="B11" s="5">
        <v>1211202.29</v>
      </c>
      <c r="C11" s="5"/>
      <c r="D11" s="5">
        <v>941594.17</v>
      </c>
      <c r="E11" s="5"/>
      <c r="F11" s="5">
        <v>3081114.66</v>
      </c>
      <c r="G11" s="5"/>
    </row>
    <row r="12" spans="1:7" ht="14.5" hidden="1" x14ac:dyDescent="0.35">
      <c r="A12" s="4" t="s">
        <v>14</v>
      </c>
      <c r="B12" s="5">
        <v>1693873.4</v>
      </c>
      <c r="C12" s="5"/>
      <c r="D12" s="5">
        <v>757646.07</v>
      </c>
      <c r="E12" s="5"/>
      <c r="F12" s="5">
        <v>6714015.3300000001</v>
      </c>
      <c r="G12" s="5"/>
    </row>
    <row r="13" spans="1:7" ht="14.5" hidden="1" x14ac:dyDescent="0.35">
      <c r="A13" s="4" t="s">
        <v>15</v>
      </c>
      <c r="B13" s="5">
        <v>1563661.81</v>
      </c>
      <c r="C13" s="5"/>
      <c r="D13" s="5">
        <v>907919.27</v>
      </c>
      <c r="E13" s="5"/>
      <c r="F13" s="5">
        <v>1747062.35</v>
      </c>
      <c r="G13" s="5"/>
    </row>
    <row r="14" spans="1:7" ht="14.5" hidden="1" x14ac:dyDescent="0.35">
      <c r="A14" s="4" t="s">
        <v>16</v>
      </c>
      <c r="B14" s="5">
        <v>1905661.99</v>
      </c>
      <c r="C14" s="5"/>
      <c r="D14" s="5">
        <v>703284.73</v>
      </c>
      <c r="E14" s="5"/>
      <c r="F14" s="5">
        <v>2756112.88</v>
      </c>
      <c r="G14" s="5"/>
    </row>
    <row r="15" spans="1:7" ht="14.5" hidden="1" x14ac:dyDescent="0.35">
      <c r="A15" s="4" t="s">
        <v>17</v>
      </c>
      <c r="B15" s="5">
        <v>1652595.63</v>
      </c>
      <c r="C15" s="5"/>
      <c r="D15" s="5">
        <v>1055697.3600000001</v>
      </c>
      <c r="E15" s="5"/>
      <c r="F15" s="5">
        <v>1302693.23</v>
      </c>
      <c r="G15" s="5"/>
    </row>
    <row r="16" spans="1:7" ht="14.5" hidden="1" x14ac:dyDescent="0.35">
      <c r="B16" s="5">
        <f>SUM(B4:B15)</f>
        <v>17042947.060000002</v>
      </c>
      <c r="C16" s="5"/>
      <c r="D16" s="5">
        <f>SUM(D4:D15)</f>
        <v>10704196.4</v>
      </c>
      <c r="E16" s="5"/>
      <c r="F16" s="5">
        <f>SUM(F4:F15)</f>
        <v>30358357.310000002</v>
      </c>
      <c r="G16" s="5"/>
    </row>
    <row r="17" spans="2:7" ht="14.5" hidden="1" x14ac:dyDescent="0.35">
      <c r="B17" s="5"/>
      <c r="C17" s="5"/>
      <c r="D17" s="5"/>
      <c r="E17" s="5"/>
      <c r="F17" s="5"/>
      <c r="G17" s="5"/>
    </row>
    <row r="18" spans="2:7" ht="14.5" x14ac:dyDescent="0.35">
      <c r="B18" s="5"/>
      <c r="C18" s="5"/>
      <c r="D18" s="5"/>
      <c r="E18" s="5"/>
      <c r="F18" s="5"/>
      <c r="G18" s="5"/>
    </row>
    <row r="19" spans="2:7" ht="14.5" x14ac:dyDescent="0.35">
      <c r="B19" s="5"/>
      <c r="C19" s="5"/>
      <c r="D19" s="5"/>
      <c r="E19" s="5"/>
      <c r="F19" s="5"/>
      <c r="G19" s="5"/>
    </row>
    <row r="20" spans="2:7" ht="14.5" x14ac:dyDescent="0.35">
      <c r="B20" s="5"/>
      <c r="C20" s="5"/>
      <c r="D20" s="5"/>
      <c r="E20" s="5"/>
      <c r="F20" s="5"/>
      <c r="G20" s="5"/>
    </row>
    <row r="21" spans="2:7" ht="15.75" customHeight="1" x14ac:dyDescent="0.35"/>
    <row r="22" spans="2:7" ht="15.75" customHeight="1" x14ac:dyDescent="0.35"/>
    <row r="23" spans="2:7" ht="15.75" customHeight="1" x14ac:dyDescent="0.35"/>
    <row r="24" spans="2:7" ht="15.75" customHeight="1" x14ac:dyDescent="0.35"/>
    <row r="25" spans="2:7" ht="15.75" customHeight="1" x14ac:dyDescent="0.35"/>
    <row r="26" spans="2:7" ht="15.75" customHeight="1" x14ac:dyDescent="0.35"/>
    <row r="27" spans="2:7" ht="15.75" customHeight="1" x14ac:dyDescent="0.35"/>
    <row r="28" spans="2:7" ht="15.75" customHeight="1" x14ac:dyDescent="0.35"/>
    <row r="29" spans="2:7" ht="15.75" customHeight="1" x14ac:dyDescent="0.35"/>
    <row r="30" spans="2:7" ht="15.75" customHeight="1" x14ac:dyDescent="0.35"/>
    <row r="31" spans="2:7" ht="15.75" customHeight="1" x14ac:dyDescent="0.35"/>
    <row r="32" spans="2:7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Isabel Juarez Jacobo</dc:creator>
  <cp:lastModifiedBy>Carolina Rivera Meníndez (bgbg)</cp:lastModifiedBy>
  <dcterms:created xsi:type="dcterms:W3CDTF">2023-11-30T01:19:56Z</dcterms:created>
  <dcterms:modified xsi:type="dcterms:W3CDTF">2026-05-05T23:51:49Z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ew0KICAiZG9jSUQiOiAiNjVkMmFiNWYtZDY2NS00ZDFkLWIzNjctMGE0OTVhMjQ5ZmRhIg0KfQ==</vt:lpwstr>
  </property>
  <property fmtid="{D5CDD505-2E9C-101B-9397-08002B2CF9AE}" pid="3" name="GVData0">
    <vt:lpwstr>(end)</vt:lpwstr>
  </property>
</Properties>
</file>