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02\"/>
    </mc:Choice>
  </mc:AlternateContent>
  <xr:revisionPtr revIDLastSave="0" documentId="13_ncr:1_{66388A65-651B-4410-A68C-A088FD485C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6jgIDj1QT+NJl0K+TJF0+n+W1CE0892XtG2AqOXWLE="/>
    </ext>
  </extLst>
</workbook>
</file>

<file path=xl/calcChain.xml><?xml version="1.0" encoding="utf-8"?>
<calcChain xmlns="http://schemas.openxmlformats.org/spreadsheetml/2006/main">
  <c r="C16" i="1" l="1"/>
  <c r="B16" i="1"/>
  <c r="D15" i="1"/>
  <c r="D14" i="1"/>
  <c r="D13" i="1"/>
  <c r="D12" i="1"/>
  <c r="D11" i="1"/>
  <c r="D10" i="1"/>
  <c r="D9" i="1"/>
  <c r="D8" i="1"/>
  <c r="D7" i="1"/>
  <c r="D6" i="1"/>
  <c r="D5" i="1"/>
  <c r="D4" i="1"/>
  <c r="B3" i="1"/>
  <c r="D16" i="1" l="1"/>
  <c r="D17" i="1" s="1"/>
</calcChain>
</file>

<file path=xl/sharedStrings.xml><?xml version="1.0" encoding="utf-8"?>
<sst xmlns="http://schemas.openxmlformats.org/spreadsheetml/2006/main" count="14" uniqueCount="14">
  <si>
    <t>C501 </t>
  </si>
  <si>
    <t>R002-0501 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</si>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</sst>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3" fillId="0" borderId="0" xfId="0" applyNumberFormat="1" applyFont="1"/>
    <xf numFmtId="164" fontId="5" fillId="0" borderId="0" xfId="0" applyNumberFormat="1" applyFont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B1"/>
    </sheetView>
  </sheetViews>
  <sheetFormatPr baseColWidth="10" defaultColWidth="14.453125" defaultRowHeight="15" customHeight="1" x14ac:dyDescent="0.35"/>
  <cols>
    <col min="1" max="1" width="11.453125" customWidth="1"/>
    <col min="2" max="2" width="32.08984375" customWidth="1"/>
    <col min="3" max="3" width="11.453125" customWidth="1"/>
    <col min="4" max="4" width="17.26953125" customWidth="1"/>
    <col min="5" max="26" width="11.453125" customWidth="1"/>
  </cols>
  <sheetData>
    <row r="1" spans="1:4" ht="14.5" x14ac:dyDescent="0.35">
      <c r="A1" s="10" t="s">
        <v>0</v>
      </c>
      <c r="B1" s="10" t="s">
        <v>1</v>
      </c>
    </row>
    <row r="2" spans="1:4" ht="1.5" customHeight="1" x14ac:dyDescent="0.35">
      <c r="A2" s="1"/>
      <c r="B2" s="2"/>
    </row>
    <row r="3" spans="1:4" ht="14.5" x14ac:dyDescent="0.35">
      <c r="A3" s="3">
        <v>2025</v>
      </c>
      <c r="B3" s="4">
        <f>12886.91/1.16</f>
        <v>11109.405172413793</v>
      </c>
      <c r="C3" s="5"/>
    </row>
    <row r="4" spans="1:4" ht="14.5" hidden="1" x14ac:dyDescent="0.35">
      <c r="A4" s="6" t="s">
        <v>2</v>
      </c>
      <c r="B4" s="7">
        <v>3674480.69</v>
      </c>
      <c r="C4" s="5">
        <v>333</v>
      </c>
      <c r="D4" s="8">
        <f>B4/C4</f>
        <v>11034.476546546546</v>
      </c>
    </row>
    <row r="5" spans="1:4" ht="14.5" hidden="1" x14ac:dyDescent="0.35">
      <c r="A5" s="6" t="s">
        <v>3</v>
      </c>
      <c r="B5" s="7">
        <v>4369199.76</v>
      </c>
      <c r="C5" s="5">
        <v>305</v>
      </c>
      <c r="D5" s="8">
        <f>B5/C5</f>
        <v>14325.245114754098</v>
      </c>
    </row>
    <row r="6" spans="1:4" ht="14.5" hidden="1" x14ac:dyDescent="0.35">
      <c r="A6" s="6" t="s">
        <v>4</v>
      </c>
      <c r="B6" s="7">
        <v>4000763.59</v>
      </c>
      <c r="C6" s="5">
        <v>318</v>
      </c>
      <c r="D6" s="8">
        <f>B6/C6</f>
        <v>12581.017578616351</v>
      </c>
    </row>
    <row r="7" spans="1:4" ht="14.5" hidden="1" x14ac:dyDescent="0.35">
      <c r="A7" s="6" t="s">
        <v>5</v>
      </c>
      <c r="B7" s="7">
        <v>3802113.16</v>
      </c>
      <c r="C7" s="5">
        <v>314</v>
      </c>
      <c r="D7" s="8">
        <f>B7/C7</f>
        <v>12108.640636942675</v>
      </c>
    </row>
    <row r="8" spans="1:4" ht="14.5" hidden="1" x14ac:dyDescent="0.35">
      <c r="A8" s="6" t="s">
        <v>6</v>
      </c>
      <c r="B8" s="7">
        <v>4294445.5999999996</v>
      </c>
      <c r="C8" s="5">
        <v>323</v>
      </c>
      <c r="D8" s="8">
        <f>B8/C8</f>
        <v>13295.49721362229</v>
      </c>
    </row>
    <row r="9" spans="1:4" ht="14.5" hidden="1" x14ac:dyDescent="0.35">
      <c r="A9" s="6" t="s">
        <v>7</v>
      </c>
      <c r="B9" s="7">
        <v>3915696.33</v>
      </c>
      <c r="C9" s="5">
        <v>314</v>
      </c>
      <c r="D9" s="8">
        <f>B9/C9</f>
        <v>12470.370477707007</v>
      </c>
    </row>
    <row r="10" spans="1:4" ht="14.5" hidden="1" x14ac:dyDescent="0.35">
      <c r="A10" s="6" t="s">
        <v>8</v>
      </c>
      <c r="B10" s="7">
        <v>3600714.14</v>
      </c>
      <c r="C10" s="5">
        <v>302</v>
      </c>
      <c r="D10" s="8">
        <f>B10/C10</f>
        <v>11922.89450331126</v>
      </c>
    </row>
    <row r="11" spans="1:4" ht="14.5" hidden="1" x14ac:dyDescent="0.35">
      <c r="A11" s="6" t="s">
        <v>9</v>
      </c>
      <c r="B11" s="7">
        <v>3765342.66</v>
      </c>
      <c r="C11" s="5">
        <v>289</v>
      </c>
      <c r="D11" s="8">
        <f>B11/C11</f>
        <v>13028.86733564014</v>
      </c>
    </row>
    <row r="12" spans="1:4" ht="14.5" hidden="1" x14ac:dyDescent="0.35">
      <c r="A12" s="6" t="s">
        <v>10</v>
      </c>
      <c r="B12" s="7">
        <v>3919000.73</v>
      </c>
      <c r="C12" s="5">
        <v>298</v>
      </c>
      <c r="D12" s="8">
        <f>B12/C12</f>
        <v>13151.009161073825</v>
      </c>
    </row>
    <row r="13" spans="1:4" ht="14.5" hidden="1" x14ac:dyDescent="0.35">
      <c r="A13" s="6" t="s">
        <v>11</v>
      </c>
      <c r="B13" s="7">
        <v>4311786.88</v>
      </c>
      <c r="C13" s="5">
        <v>305</v>
      </c>
      <c r="D13" s="8">
        <f>B13/C13</f>
        <v>14137.006163934426</v>
      </c>
    </row>
    <row r="14" spans="1:4" ht="14.5" hidden="1" x14ac:dyDescent="0.35">
      <c r="A14" s="6" t="s">
        <v>12</v>
      </c>
      <c r="B14" s="7">
        <v>4271168.29</v>
      </c>
      <c r="C14" s="5">
        <v>301</v>
      </c>
      <c r="D14" s="8">
        <f>B14/C14</f>
        <v>14189.927873754154</v>
      </c>
    </row>
    <row r="15" spans="1:4" ht="14.5" hidden="1" x14ac:dyDescent="0.35">
      <c r="A15" s="6" t="s">
        <v>13</v>
      </c>
      <c r="B15" s="7">
        <v>3731772.03</v>
      </c>
      <c r="C15" s="5">
        <v>301</v>
      </c>
      <c r="D15" s="8">
        <f>B15/C15</f>
        <v>12397.913720930232</v>
      </c>
    </row>
    <row r="16" spans="1:4" ht="14.5" hidden="1" x14ac:dyDescent="0.35">
      <c r="B16" s="8">
        <f t="shared" ref="B16:D16" si="0">SUM(B4:B15)</f>
        <v>47656483.859999999</v>
      </c>
      <c r="C16" s="5">
        <f t="shared" si="0"/>
        <v>3703</v>
      </c>
      <c r="D16" s="8">
        <f t="shared" si="0"/>
        <v>154642.866326833</v>
      </c>
    </row>
    <row r="17" spans="3:4" ht="14.5" hidden="1" x14ac:dyDescent="0.35">
      <c r="C17" s="5"/>
      <c r="D17" s="9">
        <f>D16/12</f>
        <v>12886.905527236084</v>
      </c>
    </row>
    <row r="21" spans="3:4" ht="15.75" customHeight="1" x14ac:dyDescent="0.35"/>
    <row r="22" spans="3:4" ht="15.75" customHeight="1" x14ac:dyDescent="0.35"/>
    <row r="23" spans="3:4" ht="15.75" customHeight="1" x14ac:dyDescent="0.35"/>
    <row r="24" spans="3:4" ht="15.75" customHeight="1" x14ac:dyDescent="0.35"/>
    <row r="25" spans="3:4" ht="15.75" customHeight="1" x14ac:dyDescent="0.35"/>
    <row r="26" spans="3:4" ht="15.75" customHeight="1" x14ac:dyDescent="0.35"/>
    <row r="27" spans="3:4" ht="15.75" customHeight="1" x14ac:dyDescent="0.35"/>
    <row r="28" spans="3:4" ht="15.75" customHeight="1" x14ac:dyDescent="0.35"/>
    <row r="29" spans="3:4" ht="15.75" customHeight="1" x14ac:dyDescent="0.35"/>
    <row r="30" spans="3:4" ht="15.75" customHeight="1" x14ac:dyDescent="0.35"/>
    <row r="31" spans="3:4" ht="15.75" customHeight="1" x14ac:dyDescent="0.35"/>
    <row r="32" spans="3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Juarez Jacobo</dc:creator>
  <cp:lastModifiedBy>Carolina Rivera Meníndez (bgbg)</cp:lastModifiedBy>
  <dcterms:created xsi:type="dcterms:W3CDTF">2023-11-30T01:20:03Z</dcterms:created>
  <dcterms:modified xsi:type="dcterms:W3CDTF">2026-05-05T23:54:33Z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</Properties>
</file>