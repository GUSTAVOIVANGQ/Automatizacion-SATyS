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2T 2025\"/>
    </mc:Choice>
  </mc:AlternateContent>
  <xr:revisionPtr revIDLastSave="0" documentId="13_ncr:1_{3B7F9458-F4BC-43A5-9E79-167413D4F804}" xr6:coauthVersionLast="47" xr6:coauthVersionMax="47" xr10:uidLastSave="{00000000-0000-0000-0000-000000000000}"/>
  <bookViews>
    <workbookView xWindow="9510" yWindow="0" windowWidth="9780" windowHeight="10170" xr2:uid="{8CC108CC-A477-4305-9B02-1D02AF78283B}"/>
  </bookViews>
  <sheets>
    <sheet name="R023-02" sheetId="1" r:id="rId1"/>
  </sheets>
  <definedNames>
    <definedName name="_Int_HobBr3Ro" localSheetId="0">'R023-02'!$C$13</definedName>
    <definedName name="_Int_pIW7ZUYN" localSheetId="0">'R023-02'!$C$16</definedName>
    <definedName name="_Int_PsKnCXEE" localSheetId="0">'R023-02'!$C$12</definedName>
    <definedName name="_Int_UsPxIRRJ" localSheetId="0">'R023-02'!$C$14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G3" i="1"/>
  <c r="D3" i="1"/>
  <c r="E3" i="1" l="1"/>
  <c r="E2" i="1" l="1"/>
</calcChain>
</file>

<file path=xl/sharedStrings.xml><?xml version="1.0" encoding="utf-8"?>
<sst xmlns="http://schemas.openxmlformats.org/spreadsheetml/2006/main" count="17" uniqueCount="12">
  <si>
    <t>C501</t>
  </si>
  <si>
    <t>C502</t>
  </si>
  <si>
    <t>C201</t>
  </si>
  <si>
    <t>R023-0201</t>
  </si>
  <si>
    <t>R023-0202</t>
  </si>
  <si>
    <t>R023-0203</t>
  </si>
  <si>
    <t>R023-0204</t>
  </si>
  <si>
    <t>P15</t>
  </si>
  <si>
    <t>P16</t>
  </si>
  <si>
    <t>P17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</si>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</sst>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17"/>
  <sheetViews>
    <sheetView tabSelected="1" zoomScale="109" workbookViewId="0">
      <selection activeCell="E6" sqref="E6"/>
    </sheetView>
  </sheetViews>
  <sheetFormatPr baseColWidth="10" defaultColWidth="11.453125" defaultRowHeight="14.5" x14ac:dyDescent="0.35"/>
  <cols>
    <col min="2" max="2" width="9.54296875" customWidth="1"/>
    <col min="3" max="3" width="10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2">
        <v>2025</v>
      </c>
      <c r="B2" s="2" t="s">
        <v>11</v>
      </c>
      <c r="C2" s="2" t="s">
        <v>7</v>
      </c>
      <c r="D2" s="2">
        <v>0</v>
      </c>
      <c r="E2" s="2">
        <f>((6+6+3+3.6+7)*3)+(6.4+6.4+6.4)</f>
        <v>96.000000000000014</v>
      </c>
      <c r="F2" s="2" t="s">
        <v>10</v>
      </c>
      <c r="G2" s="2">
        <v>36</v>
      </c>
    </row>
    <row r="3" spans="1:7" x14ac:dyDescent="0.35">
      <c r="A3" s="2">
        <v>2025</v>
      </c>
      <c r="B3" s="2" t="s">
        <v>11</v>
      </c>
      <c r="C3" s="2" t="s">
        <v>8</v>
      </c>
      <c r="D3" s="3">
        <f>((132+9.28)*3)+(80+70+70)</f>
        <v>643.84</v>
      </c>
      <c r="E3" s="2">
        <f>(45+7+1.5+168+22+84.75+2.3+8.6)*3</f>
        <v>1017.45</v>
      </c>
      <c r="F3" s="2" t="s">
        <v>10</v>
      </c>
      <c r="G3" s="3">
        <f>4.5+4.5+4.5</f>
        <v>13.5</v>
      </c>
    </row>
    <row r="4" spans="1:7" x14ac:dyDescent="0.35">
      <c r="A4" s="3">
        <v>2025</v>
      </c>
      <c r="B4" s="3" t="s">
        <v>11</v>
      </c>
      <c r="C4" s="3" t="s">
        <v>9</v>
      </c>
      <c r="D4" s="3">
        <f>((745.25+3248+81.4)*3)</f>
        <v>12223.95</v>
      </c>
      <c r="E4" s="2">
        <f>152+138+138</f>
        <v>428</v>
      </c>
      <c r="F4" s="3" t="s">
        <v>10</v>
      </c>
      <c r="G4" s="3" t="s">
        <v>10</v>
      </c>
    </row>
    <row r="11" spans="1:7" ht="29" customHeight="1" x14ac:dyDescent="0.35"/>
    <row r="13" spans="1:7" ht="93.5" customHeight="1" x14ac:dyDescent="0.35"/>
    <row r="14" spans="1:7" ht="78.5" customHeight="1" x14ac:dyDescent="0.35"/>
    <row r="16" spans="1:7" ht="93" customHeight="1" x14ac:dyDescent="0.35"/>
    <row r="17" ht="7.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R023-02</vt:lpstr>
      <vt:lpstr>'R023-02'!_Int_HobBr3Ro</vt:lpstr>
      <vt:lpstr>'R023-02'!_Int_pIW7ZUYN</vt:lpstr>
      <vt:lpstr>'R023-02'!_Int_PsKnCXEE</vt:lpstr>
      <vt:lpstr>'R023-02'!_Int_UsPxIRRJ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Kenya Ordonez Flores</cp:lastModifiedBy>
  <cp:revision/>
  <dcterms:created xsi:type="dcterms:W3CDTF">2023-09-07T15:24:12Z</dcterms:created>
  <dcterms:modified xsi:type="dcterms:W3CDTF">2025-08-22T23:13:15Z</dcterms:modified>
  <cp:category/>
  <cp:contentStatus/>
</cp:coreProperties>
</file>