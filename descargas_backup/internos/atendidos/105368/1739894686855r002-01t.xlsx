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FF56396E-2D1D-4A1E-B635-834926BE0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<sst xmlns="http://schemas.openxmlformats.org/spreadsheetml/2006/main" count="23" uniqueCount="23">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</sst>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7"/>
  <sheetViews>
    <sheetView tabSelected="1" zoomScale="120" zoomScaleNormal="120" workbookViewId="0">
      <selection activeCell="F21" sqref="F21"/>
    </sheetView>
  </sheetViews>
  <sheetFormatPr baseColWidth="10" defaultColWidth="11.42578125" defaultRowHeight="15" x14ac:dyDescent="0.25"/>
  <cols>
    <col min="1" max="1" width="12.7109375" style="2" customWidth="1"/>
    <col min="2" max="2" width="15.7109375" style="2" customWidth="1"/>
    <col min="3" max="4" width="17.28515625" style="2" customWidth="1"/>
    <col min="5" max="5" width="18.28515625" style="2" customWidth="1"/>
    <col min="6" max="6" width="17.7109375" style="2" customWidth="1"/>
    <col min="7" max="11" width="12.710937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>
        <v>2024</v>
      </c>
      <c r="B2" s="6" t="s">
        <v>11</v>
      </c>
      <c r="C2" s="4">
        <v>0</v>
      </c>
      <c r="D2" s="4">
        <v>0</v>
      </c>
      <c r="E2" s="8">
        <f>1114603.49103448-F2</f>
        <v>747839.05000000086</v>
      </c>
      <c r="F2" s="8">
        <v>366764.44103447918</v>
      </c>
      <c r="G2" s="4">
        <v>0</v>
      </c>
      <c r="H2" s="4">
        <v>0</v>
      </c>
      <c r="I2" s="7">
        <v>25809152.438965522</v>
      </c>
      <c r="J2" s="4">
        <v>0</v>
      </c>
      <c r="K2" s="7">
        <v>27689.829999998361</v>
      </c>
    </row>
    <row r="3" spans="1:11" x14ac:dyDescent="0.25">
      <c r="A3" s="5">
        <v>2024</v>
      </c>
      <c r="B3" s="6" t="s">
        <v>12</v>
      </c>
      <c r="C3" s="4">
        <v>0</v>
      </c>
      <c r="D3" s="4">
        <v>0</v>
      </c>
      <c r="E3" s="8">
        <f>1274542.62-F3</f>
        <v>871244.98999999964</v>
      </c>
      <c r="F3" s="8">
        <v>403297.63000000047</v>
      </c>
      <c r="G3" s="4">
        <v>0</v>
      </c>
      <c r="H3" s="4">
        <v>0</v>
      </c>
      <c r="I3" s="7">
        <v>19102349.100000001</v>
      </c>
      <c r="J3" s="4">
        <v>0</v>
      </c>
      <c r="K3" s="7">
        <v>17806.21999999851</v>
      </c>
    </row>
    <row r="4" spans="1:11" x14ac:dyDescent="0.25">
      <c r="A4" s="5">
        <v>2024</v>
      </c>
      <c r="B4" s="6" t="s">
        <v>13</v>
      </c>
      <c r="C4" s="4">
        <v>0</v>
      </c>
      <c r="D4" s="4">
        <v>0</v>
      </c>
      <c r="E4" s="8">
        <f>1381353.06-F4</f>
        <v>912897.56999999983</v>
      </c>
      <c r="F4" s="8">
        <v>468455.49000000022</v>
      </c>
      <c r="G4" s="4">
        <v>0</v>
      </c>
      <c r="H4" s="4">
        <v>0</v>
      </c>
      <c r="I4" s="7">
        <v>15346215.83</v>
      </c>
      <c r="J4" s="4">
        <v>0</v>
      </c>
      <c r="K4" s="7">
        <v>17487.9000000003</v>
      </c>
    </row>
    <row r="5" spans="1:11" x14ac:dyDescent="0.25">
      <c r="A5" s="5">
        <v>2024</v>
      </c>
      <c r="B5" s="6" t="s">
        <v>14</v>
      </c>
      <c r="C5" s="4">
        <v>0</v>
      </c>
      <c r="D5" s="4">
        <v>0</v>
      </c>
      <c r="E5" s="8">
        <f>3919387.28827586-F5</f>
        <v>1053226.2599999979</v>
      </c>
      <c r="F5" s="8">
        <v>2866161.0282758619</v>
      </c>
      <c r="G5" s="4">
        <v>0</v>
      </c>
      <c r="H5" s="4">
        <v>0</v>
      </c>
      <c r="I5" s="7">
        <v>9887003.8217241373</v>
      </c>
      <c r="J5" s="4">
        <v>0</v>
      </c>
      <c r="K5" s="7">
        <v>52690.940000000817</v>
      </c>
    </row>
    <row r="6" spans="1:11" x14ac:dyDescent="0.25">
      <c r="A6" s="5">
        <v>2024</v>
      </c>
      <c r="B6" s="6" t="s">
        <v>15</v>
      </c>
      <c r="C6" s="4">
        <v>0</v>
      </c>
      <c r="D6" s="4">
        <v>0</v>
      </c>
      <c r="E6" s="8">
        <f>8259062.31103448-F6</f>
        <v>1103284.2099999981</v>
      </c>
      <c r="F6" s="8">
        <v>7155778.101034482</v>
      </c>
      <c r="G6" s="4">
        <v>0</v>
      </c>
      <c r="H6" s="4">
        <v>0</v>
      </c>
      <c r="I6" s="7">
        <v>7493152.7089655176</v>
      </c>
      <c r="J6" s="4">
        <v>0</v>
      </c>
      <c r="K6" s="7">
        <v>546803.41000000096</v>
      </c>
    </row>
    <row r="7" spans="1:11" x14ac:dyDescent="0.25">
      <c r="A7" s="5">
        <v>2024</v>
      </c>
      <c r="B7" s="6" t="s">
        <v>16</v>
      </c>
      <c r="C7" s="4">
        <v>0</v>
      </c>
      <c r="D7" s="4">
        <v>0</v>
      </c>
      <c r="E7" s="8">
        <f>16646538.32-F7</f>
        <v>1268886.8899999987</v>
      </c>
      <c r="F7" s="8">
        <v>15377651.430000002</v>
      </c>
      <c r="G7" s="4">
        <v>0</v>
      </c>
      <c r="H7" s="4">
        <v>0</v>
      </c>
      <c r="I7" s="7">
        <v>502172.86</v>
      </c>
      <c r="J7" s="4">
        <v>0</v>
      </c>
      <c r="K7" s="7">
        <v>159251.82000000007</v>
      </c>
    </row>
    <row r="8" spans="1:11" x14ac:dyDescent="0.25">
      <c r="A8" s="5">
        <v>2024</v>
      </c>
      <c r="B8" s="6" t="s">
        <v>17</v>
      </c>
      <c r="C8" s="4">
        <v>0</v>
      </c>
      <c r="D8" s="4">
        <v>0</v>
      </c>
      <c r="E8" s="8">
        <f>17899274.87-F8</f>
        <v>1247270.2100000009</v>
      </c>
      <c r="F8" s="8">
        <v>16652004.66</v>
      </c>
      <c r="G8" s="4">
        <v>0</v>
      </c>
      <c r="H8" s="4">
        <v>0</v>
      </c>
      <c r="I8" s="7">
        <v>630147.68999999994</v>
      </c>
      <c r="J8" s="4">
        <v>0</v>
      </c>
      <c r="K8" s="7">
        <v>110091.00999999934</v>
      </c>
    </row>
    <row r="9" spans="1:11" x14ac:dyDescent="0.25">
      <c r="A9" s="5">
        <v>2024</v>
      </c>
      <c r="B9" s="6" t="s">
        <v>18</v>
      </c>
      <c r="C9" s="4">
        <v>0</v>
      </c>
      <c r="D9" s="4">
        <v>0</v>
      </c>
      <c r="E9" s="8">
        <f>22949412.3-F9</f>
        <v>1303170.620000001</v>
      </c>
      <c r="F9" s="8">
        <v>21646241.68</v>
      </c>
      <c r="G9" s="4">
        <v>0</v>
      </c>
      <c r="H9" s="4">
        <v>0</v>
      </c>
      <c r="I9" s="7">
        <v>499940.18</v>
      </c>
      <c r="J9" s="4">
        <v>0</v>
      </c>
      <c r="K9" s="7">
        <v>191186.7300000017</v>
      </c>
    </row>
    <row r="10" spans="1:11" x14ac:dyDescent="0.25">
      <c r="A10" s="5">
        <v>2024</v>
      </c>
      <c r="B10" s="6" t="s">
        <v>19</v>
      </c>
      <c r="C10" s="4">
        <v>0</v>
      </c>
      <c r="D10" s="4">
        <v>0</v>
      </c>
      <c r="E10" s="8">
        <f>18062773.01-F10</f>
        <v>1368135.0600000024</v>
      </c>
      <c r="F10" s="8">
        <v>16694637.949999999</v>
      </c>
      <c r="G10" s="4">
        <v>0</v>
      </c>
      <c r="H10" s="4">
        <v>0</v>
      </c>
      <c r="I10" s="7">
        <v>783476.38</v>
      </c>
      <c r="J10" s="4">
        <v>0</v>
      </c>
      <c r="K10" s="7">
        <v>58325.940000000148</v>
      </c>
    </row>
    <row r="11" spans="1:11" x14ac:dyDescent="0.25">
      <c r="A11" s="5">
        <v>2024</v>
      </c>
      <c r="B11" s="6" t="s">
        <v>20</v>
      </c>
      <c r="C11" s="4">
        <v>0</v>
      </c>
      <c r="D11" s="4">
        <v>0</v>
      </c>
      <c r="E11" s="8">
        <f>17331758.66-F11</f>
        <v>1200274.0299999975</v>
      </c>
      <c r="F11" s="8">
        <v>16131484.630000003</v>
      </c>
      <c r="G11" s="4">
        <v>0</v>
      </c>
      <c r="H11" s="4">
        <v>0</v>
      </c>
      <c r="I11" s="7">
        <v>2430402.02</v>
      </c>
      <c r="J11" s="4">
        <v>0</v>
      </c>
      <c r="K11" s="7">
        <v>148765.62999999666</v>
      </c>
    </row>
    <row r="12" spans="1:11" x14ac:dyDescent="0.25">
      <c r="A12" s="5">
        <v>2024</v>
      </c>
      <c r="B12" s="6" t="s">
        <v>21</v>
      </c>
      <c r="C12" s="4">
        <v>0</v>
      </c>
      <c r="D12" s="4">
        <v>0</v>
      </c>
      <c r="E12" s="8">
        <f>19022286.85-F12</f>
        <v>1324893.6500000022</v>
      </c>
      <c r="F12" s="8">
        <v>17697393.199999999</v>
      </c>
      <c r="G12" s="4">
        <v>0</v>
      </c>
      <c r="H12" s="4">
        <v>0</v>
      </c>
      <c r="I12" s="7">
        <v>6490.21</v>
      </c>
      <c r="J12" s="4">
        <v>0</v>
      </c>
      <c r="K12" s="7">
        <v>95423.630000002246</v>
      </c>
    </row>
    <row r="13" spans="1:11" x14ac:dyDescent="0.25">
      <c r="A13" s="5">
        <v>2024</v>
      </c>
      <c r="B13" s="6" t="s">
        <v>22</v>
      </c>
      <c r="C13" s="4">
        <v>0</v>
      </c>
      <c r="D13" s="4">
        <v>0</v>
      </c>
      <c r="E13" s="8">
        <f>12965405.7644828-F13</f>
        <v>1216829.500000041</v>
      </c>
      <c r="F13" s="8">
        <v>11748576.264482759</v>
      </c>
      <c r="G13" s="4">
        <v>0</v>
      </c>
      <c r="H13" s="4">
        <v>0</v>
      </c>
      <c r="I13" s="7">
        <v>357703.09</v>
      </c>
      <c r="J13" s="4">
        <v>0</v>
      </c>
      <c r="K13" s="7">
        <v>95315.30551724181</v>
      </c>
    </row>
    <row r="14" spans="1:11" x14ac:dyDescent="0.25">
      <c r="E14" s="9"/>
    </row>
    <row r="15" spans="1:11" x14ac:dyDescent="0.25">
      <c r="E15" s="10"/>
    </row>
    <row r="16" spans="1:11" x14ac:dyDescent="0.25">
      <c r="E16" s="10"/>
    </row>
    <row r="17" spans="5:5" x14ac:dyDescent="0.25">
      <c r="E17" s="1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Luis Iñaki Cruz Ceballos (bgbg)</cp:lastModifiedBy>
  <dcterms:created xsi:type="dcterms:W3CDTF">2016-05-06T00:44:34Z</dcterms:created>
  <dcterms:modified xsi:type="dcterms:W3CDTF">2025-02-18T15:55:38Z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