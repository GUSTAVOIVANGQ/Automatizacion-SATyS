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4Q'24/México Red Telecomunicaciones/R019-Servicio Mayorista Interconexión/"/>
    </mc:Choice>
  </mc:AlternateContent>
  <xr:revisionPtr revIDLastSave="156" documentId="8_{10FD835D-2986-49FE-BB73-07ED4A704D59}" xr6:coauthVersionLast="47" xr6:coauthVersionMax="47" xr10:uidLastSave="{2C2A03FF-1C94-C248-8E08-D620B3FC6F5B}"/>
  <bookViews>
    <workbookView xWindow="0" yWindow="620" windowWidth="23260" windowHeight="12580" xr2:uid="{00000000-000D-0000-FFFF-FFFF00000000}"/>
  </bookViews>
  <sheets>
    <sheet name="R019-01" sheetId="1" r:id="rId1"/>
  </sheets>
  <definedNames>
    <definedName name="_AMO_UniqueIdentifier" hidden="1">"'d75ffb5d-57cc-4ffc-975e-8888e6fe9366'"</definedName>
    <definedName name="_xlnm._FilterDatabase" localSheetId="0" hidden="1">'R019-01'!$A$2:$H$53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5" i="1" l="1"/>
  <c r="F56" i="1" s="1"/>
  <c r="J1" i="1" s="1"/>
</calcChain>
</file>

<file path=xl/sharedStrings.xml><?xml version="1.0" encoding="utf-8"?>
<sst xmlns="http://schemas.openxmlformats.org/spreadsheetml/2006/main" count="322" uniqueCount="37">
  <si>
    <t>C601</t>
  </si>
  <si>
    <t>C602</t>
  </si>
  <si>
    <t>R019-0101</t>
  </si>
  <si>
    <t>R019-0102</t>
  </si>
  <si>
    <t>R019-0103</t>
  </si>
  <si>
    <t>R019-0104</t>
  </si>
  <si>
    <t>R019-0105</t>
  </si>
  <si>
    <t>R019-0106</t>
  </si>
  <si>
    <t>AÑO</t>
  </si>
  <si>
    <t>MES</t>
  </si>
  <si>
    <t>Adquiriente de servicios de Interconexión</t>
  </si>
  <si>
    <t>Ingresos de tránsito nacional de voz</t>
  </si>
  <si>
    <t>Ingresos de tránsito internacional de voz</t>
  </si>
  <si>
    <t>Ingresos de terminación fija de voz</t>
  </si>
  <si>
    <t>Ingresos de terminación móvil de voz</t>
  </si>
  <si>
    <t>Ingresos de terminación de SMS</t>
  </si>
  <si>
    <t>na</t>
  </si>
  <si>
    <t>AT&amp;T COMERCIALIZACION MOVIL S DE RL DE CV</t>
  </si>
  <si>
    <t>AXTEL, S.A.B DE C.V.</t>
  </si>
  <si>
    <t>PEGASO PCS S.A DE C.V</t>
  </si>
  <si>
    <t>Radiomovil Dipsa, S.A. de C.V.</t>
  </si>
  <si>
    <t>TELEFONOS DE MEXICO S.A. B. DE C.V</t>
  </si>
  <si>
    <t>Marcatel COM, S.A. de C.V.</t>
  </si>
  <si>
    <t>Maxcom Telecomunicaciones, S.A.B. de C.V.</t>
  </si>
  <si>
    <t>MEGACABLE COMUNICACIONES DE MEXICO SA DE CV</t>
  </si>
  <si>
    <t>TOTAL PLAY TELECOMUNICACIONES SA DE  CV</t>
  </si>
  <si>
    <t>ALTAN REDES, S.A.P.I. DE C.V.</t>
  </si>
  <si>
    <t>CONVERGIA DE MEXICO</t>
  </si>
  <si>
    <t>IENTC, S. DE R.L. DE C.V.</t>
  </si>
  <si>
    <t>Mega Cable, S.A. de C.V.</t>
  </si>
  <si>
    <t>SERVNET MEXICO, S.A. DE C.V.</t>
  </si>
  <si>
    <t>TELEFONOS DEL NOROESTE, S.A. DE C.V</t>
  </si>
  <si>
    <t>UC TELECOMUNICACIONES, S.A.P.I. DE C.V.</t>
  </si>
  <si>
    <t>IP MATRIX, S.A. DE C.V.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</si>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</sst>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43" fontId="1" fillId="2" borderId="1" xfId="1" applyFont="1" applyFill="1" applyBorder="1" applyAlignment="1">
      <alignment horizontal="center" vertical="center" wrapText="1"/>
    </xf>
    <xf numFmtId="43" fontId="1" fillId="0" borderId="0" xfId="1" applyFont="1"/>
    <xf numFmtId="0" fontId="2" fillId="0" borderId="2" xfId="0" applyFont="1" applyBorder="1" applyAlignment="1">
      <alignment horizontal="center" vertical="center" wrapText="1"/>
    </xf>
    <xf numFmtId="43" fontId="2" fillId="0" borderId="2" xfId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43" fontId="3" fillId="0" borderId="0" xfId="1" applyFont="1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3" fontId="0" fillId="0" borderId="0" xfId="1" applyNumberFormat="1" applyFont="1" applyFill="1"/>
    <xf numFmtId="3" fontId="3" fillId="0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J86"/>
  <sheetViews>
    <sheetView tabSelected="1" zoomScale="110" zoomScaleNormal="110" workbookViewId="0">
      <pane ySplit="2" topLeftCell="A8" activePane="bottomLeft" state="frozen"/>
      <selection pane="bottomLeft" activeCell="D8" sqref="D8:H53"/>
    </sheetView>
  </sheetViews>
  <sheetFormatPr baseColWidth="10" defaultColWidth="11.5" defaultRowHeight="15" x14ac:dyDescent="0.2"/>
  <cols>
    <col min="1" max="2" width="11.5" style="3" customWidth="1"/>
    <col min="3" max="3" width="43.5" style="3" bestFit="1" customWidth="1"/>
    <col min="4" max="4" width="19.5" style="3" customWidth="1"/>
    <col min="5" max="5" width="19.5" style="4" customWidth="1"/>
    <col min="6" max="6" width="19.5" style="7" customWidth="1"/>
    <col min="7" max="8" width="19.5" style="4" customWidth="1"/>
  </cols>
  <sheetData>
    <row r="1" spans="1:10" ht="25" thickBot="1" x14ac:dyDescent="0.25">
      <c r="A1" s="3" t="s">
        <v>8</v>
      </c>
      <c r="B1" s="3" t="s">
        <v>9</v>
      </c>
      <c r="C1" s="5" t="s">
        <v>10</v>
      </c>
      <c r="D1" s="8" t="s">
        <v>11</v>
      </c>
      <c r="E1" s="8" t="s">
        <v>12</v>
      </c>
      <c r="F1" s="9" t="s">
        <v>13</v>
      </c>
      <c r="G1" s="8" t="s">
        <v>14</v>
      </c>
      <c r="H1" s="8" t="s">
        <v>15</v>
      </c>
      <c r="J1" s="15">
        <f>SUBTOTAL(9,D3:H539)</f>
        <v>320382.06679452001</v>
      </c>
    </row>
    <row r="2" spans="1:10" s="1" customFormat="1" ht="16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6" t="s">
        <v>5</v>
      </c>
      <c r="G2" s="2" t="s">
        <v>6</v>
      </c>
      <c r="H2" s="2" t="s">
        <v>7</v>
      </c>
    </row>
    <row r="3" spans="1:10" x14ac:dyDescent="0.2">
      <c r="A3" s="13">
        <v>2024</v>
      </c>
      <c r="B3" s="14" t="s">
        <v>34</v>
      </c>
      <c r="C3" s="10" t="s">
        <v>26</v>
      </c>
      <c r="D3" s="16" t="s">
        <v>16</v>
      </c>
      <c r="E3" s="16" t="s">
        <v>16</v>
      </c>
      <c r="F3" s="17">
        <v>627.41180340000005</v>
      </c>
      <c r="G3" s="16" t="s">
        <v>16</v>
      </c>
      <c r="H3" s="16" t="s">
        <v>16</v>
      </c>
    </row>
    <row r="4" spans="1:10" x14ac:dyDescent="0.2">
      <c r="A4" s="13">
        <v>2024</v>
      </c>
      <c r="B4" s="14" t="s">
        <v>35</v>
      </c>
      <c r="C4" s="10" t="s">
        <v>26</v>
      </c>
      <c r="D4" s="16" t="s">
        <v>16</v>
      </c>
      <c r="E4" s="16" t="s">
        <v>16</v>
      </c>
      <c r="F4" s="17">
        <v>730.03713101999995</v>
      </c>
      <c r="G4" s="16" t="s">
        <v>16</v>
      </c>
      <c r="H4" s="16" t="s">
        <v>16</v>
      </c>
    </row>
    <row r="5" spans="1:10" x14ac:dyDescent="0.2">
      <c r="A5" s="13">
        <v>2024</v>
      </c>
      <c r="B5" s="14" t="s">
        <v>36</v>
      </c>
      <c r="C5" s="10" t="s">
        <v>26</v>
      </c>
      <c r="D5" s="16" t="s">
        <v>16</v>
      </c>
      <c r="E5" s="16" t="s">
        <v>16</v>
      </c>
      <c r="F5" s="17">
        <v>708.29956386000003</v>
      </c>
      <c r="G5" s="16" t="s">
        <v>16</v>
      </c>
      <c r="H5" s="16" t="s">
        <v>16</v>
      </c>
    </row>
    <row r="6" spans="1:10" x14ac:dyDescent="0.2">
      <c r="A6" s="13">
        <v>2024</v>
      </c>
      <c r="B6" s="14" t="s">
        <v>34</v>
      </c>
      <c r="C6" s="10" t="s">
        <v>17</v>
      </c>
      <c r="D6" s="16" t="s">
        <v>16</v>
      </c>
      <c r="E6" s="16" t="s">
        <v>16</v>
      </c>
      <c r="F6" s="17">
        <v>2177.6511792599999</v>
      </c>
      <c r="G6" s="16" t="s">
        <v>16</v>
      </c>
      <c r="H6" s="16" t="s">
        <v>16</v>
      </c>
    </row>
    <row r="7" spans="1:10" x14ac:dyDescent="0.2">
      <c r="A7" s="13">
        <v>2024</v>
      </c>
      <c r="B7" s="14" t="s">
        <v>35</v>
      </c>
      <c r="C7" s="10" t="s">
        <v>17</v>
      </c>
      <c r="D7" s="16" t="s">
        <v>16</v>
      </c>
      <c r="E7" s="16" t="s">
        <v>16</v>
      </c>
      <c r="F7" s="17">
        <v>2529.0303283799999</v>
      </c>
      <c r="G7" s="16" t="s">
        <v>16</v>
      </c>
      <c r="H7" s="16" t="s">
        <v>16</v>
      </c>
    </row>
    <row r="8" spans="1:10" x14ac:dyDescent="0.2">
      <c r="A8" s="13">
        <v>2024</v>
      </c>
      <c r="B8" s="14" t="s">
        <v>36</v>
      </c>
      <c r="C8" s="10" t="s">
        <v>17</v>
      </c>
      <c r="D8" s="16" t="s">
        <v>16</v>
      </c>
      <c r="E8" s="16" t="s">
        <v>16</v>
      </c>
      <c r="F8" s="17">
        <v>2457.3694901400004</v>
      </c>
      <c r="G8" s="16" t="s">
        <v>16</v>
      </c>
      <c r="H8" s="16" t="s">
        <v>16</v>
      </c>
    </row>
    <row r="9" spans="1:10" x14ac:dyDescent="0.2">
      <c r="A9" s="13">
        <v>2024</v>
      </c>
      <c r="B9" s="14" t="s">
        <v>34</v>
      </c>
      <c r="C9" s="10" t="s">
        <v>18</v>
      </c>
      <c r="D9" s="16" t="s">
        <v>16</v>
      </c>
      <c r="E9" s="16" t="s">
        <v>16</v>
      </c>
      <c r="F9" s="17">
        <v>25.946113320000002</v>
      </c>
      <c r="G9" s="16" t="s">
        <v>16</v>
      </c>
      <c r="H9" s="16" t="s">
        <v>16</v>
      </c>
    </row>
    <row r="10" spans="1:10" x14ac:dyDescent="0.2">
      <c r="A10" s="13">
        <v>2024</v>
      </c>
      <c r="B10" s="14" t="s">
        <v>35</v>
      </c>
      <c r="C10" s="10" t="s">
        <v>18</v>
      </c>
      <c r="D10" s="16" t="s">
        <v>16</v>
      </c>
      <c r="E10" s="16" t="s">
        <v>16</v>
      </c>
      <c r="F10" s="17">
        <v>31.934704140000001</v>
      </c>
      <c r="G10" s="16" t="s">
        <v>16</v>
      </c>
      <c r="H10" s="16" t="s">
        <v>16</v>
      </c>
    </row>
    <row r="11" spans="1:10" x14ac:dyDescent="0.2">
      <c r="A11" s="13">
        <v>2024</v>
      </c>
      <c r="B11" s="14" t="s">
        <v>36</v>
      </c>
      <c r="C11" s="10" t="s">
        <v>18</v>
      </c>
      <c r="D11" s="16" t="s">
        <v>16</v>
      </c>
      <c r="E11" s="16" t="s">
        <v>16</v>
      </c>
      <c r="F11" s="17">
        <v>31.641571079999999</v>
      </c>
      <c r="G11" s="16" t="s">
        <v>16</v>
      </c>
      <c r="H11" s="16" t="s">
        <v>16</v>
      </c>
    </row>
    <row r="12" spans="1:10" x14ac:dyDescent="0.2">
      <c r="A12" s="13">
        <v>2024</v>
      </c>
      <c r="B12" s="14" t="s">
        <v>34</v>
      </c>
      <c r="C12" s="10" t="s">
        <v>27</v>
      </c>
      <c r="D12" s="16" t="s">
        <v>16</v>
      </c>
      <c r="E12" s="16" t="s">
        <v>16</v>
      </c>
      <c r="F12" s="18">
        <v>2.89430604</v>
      </c>
      <c r="G12" s="16" t="s">
        <v>16</v>
      </c>
      <c r="H12" s="16" t="s">
        <v>16</v>
      </c>
    </row>
    <row r="13" spans="1:10" x14ac:dyDescent="0.2">
      <c r="A13" s="13">
        <v>2024</v>
      </c>
      <c r="B13" s="14" t="s">
        <v>35</v>
      </c>
      <c r="C13" s="10" t="s">
        <v>27</v>
      </c>
      <c r="D13" s="16" t="s">
        <v>16</v>
      </c>
      <c r="E13" s="16" t="s">
        <v>16</v>
      </c>
      <c r="F13" s="18">
        <v>3.3719030999999999</v>
      </c>
      <c r="G13" s="16" t="s">
        <v>16</v>
      </c>
      <c r="H13" s="16" t="s">
        <v>16</v>
      </c>
    </row>
    <row r="14" spans="1:10" x14ac:dyDescent="0.2">
      <c r="A14" s="13">
        <v>2024</v>
      </c>
      <c r="B14" s="14" t="s">
        <v>36</v>
      </c>
      <c r="C14" s="10" t="s">
        <v>27</v>
      </c>
      <c r="D14" s="16" t="s">
        <v>16</v>
      </c>
      <c r="E14" s="16" t="s">
        <v>16</v>
      </c>
      <c r="F14" s="18">
        <v>2.6849064600000001</v>
      </c>
      <c r="G14" s="16" t="s">
        <v>16</v>
      </c>
      <c r="H14" s="16" t="s">
        <v>16</v>
      </c>
    </row>
    <row r="15" spans="1:10" x14ac:dyDescent="0.2">
      <c r="A15" s="13">
        <v>2024</v>
      </c>
      <c r="B15" s="14" t="s">
        <v>34</v>
      </c>
      <c r="C15" s="10" t="s">
        <v>28</v>
      </c>
      <c r="D15" s="16" t="s">
        <v>16</v>
      </c>
      <c r="E15" s="16" t="s">
        <v>16</v>
      </c>
      <c r="F15" s="18">
        <v>2.44009638</v>
      </c>
      <c r="G15" s="16" t="s">
        <v>16</v>
      </c>
      <c r="H15" s="16" t="s">
        <v>16</v>
      </c>
    </row>
    <row r="16" spans="1:10" x14ac:dyDescent="0.2">
      <c r="A16" s="13">
        <v>2024</v>
      </c>
      <c r="B16" s="14" t="s">
        <v>35</v>
      </c>
      <c r="C16" s="10" t="s">
        <v>28</v>
      </c>
      <c r="D16" s="16" t="s">
        <v>16</v>
      </c>
      <c r="E16" s="16" t="s">
        <v>16</v>
      </c>
      <c r="F16" s="18">
        <v>2.5985707200000001</v>
      </c>
      <c r="G16" s="16" t="s">
        <v>16</v>
      </c>
      <c r="H16" s="16" t="s">
        <v>16</v>
      </c>
    </row>
    <row r="17" spans="1:8" x14ac:dyDescent="0.2">
      <c r="A17" s="13">
        <v>2024</v>
      </c>
      <c r="B17" s="14" t="s">
        <v>36</v>
      </c>
      <c r="C17" s="10" t="s">
        <v>28</v>
      </c>
      <c r="D17" s="16" t="s">
        <v>16</v>
      </c>
      <c r="E17" s="16" t="s">
        <v>16</v>
      </c>
      <c r="F17" s="18">
        <v>2.7172206000000001</v>
      </c>
      <c r="G17" s="16" t="s">
        <v>16</v>
      </c>
      <c r="H17" s="16" t="s">
        <v>16</v>
      </c>
    </row>
    <row r="18" spans="1:8" x14ac:dyDescent="0.2">
      <c r="A18" s="13">
        <v>2024</v>
      </c>
      <c r="B18" s="14" t="s">
        <v>34</v>
      </c>
      <c r="C18" s="10" t="s">
        <v>22</v>
      </c>
      <c r="D18" s="16" t="s">
        <v>16</v>
      </c>
      <c r="E18" s="16" t="s">
        <v>16</v>
      </c>
      <c r="F18" s="18">
        <v>0</v>
      </c>
      <c r="G18" s="16" t="s">
        <v>16</v>
      </c>
      <c r="H18" s="16" t="s">
        <v>16</v>
      </c>
    </row>
    <row r="19" spans="1:8" x14ac:dyDescent="0.2">
      <c r="A19" s="13">
        <v>2024</v>
      </c>
      <c r="B19" s="14" t="s">
        <v>35</v>
      </c>
      <c r="C19" s="10" t="s">
        <v>22</v>
      </c>
      <c r="D19" s="16" t="s">
        <v>16</v>
      </c>
      <c r="E19" s="16" t="s">
        <v>16</v>
      </c>
      <c r="F19" s="18">
        <v>0</v>
      </c>
      <c r="G19" s="16" t="s">
        <v>16</v>
      </c>
      <c r="H19" s="16" t="s">
        <v>16</v>
      </c>
    </row>
    <row r="20" spans="1:8" x14ac:dyDescent="0.2">
      <c r="A20" s="13">
        <v>2024</v>
      </c>
      <c r="B20" s="14" t="s">
        <v>36</v>
      </c>
      <c r="C20" s="10" t="s">
        <v>22</v>
      </c>
      <c r="D20" s="16" t="s">
        <v>16</v>
      </c>
      <c r="E20" s="16" t="s">
        <v>16</v>
      </c>
      <c r="F20" s="18">
        <v>0</v>
      </c>
      <c r="G20" s="16" t="s">
        <v>16</v>
      </c>
      <c r="H20" s="16" t="s">
        <v>16</v>
      </c>
    </row>
    <row r="21" spans="1:8" x14ac:dyDescent="0.2">
      <c r="A21" s="13">
        <v>2024</v>
      </c>
      <c r="B21" s="14" t="s">
        <v>34</v>
      </c>
      <c r="C21" s="10" t="s">
        <v>23</v>
      </c>
      <c r="D21" s="16" t="s">
        <v>16</v>
      </c>
      <c r="E21" s="16" t="s">
        <v>16</v>
      </c>
      <c r="F21" s="18">
        <v>3.7974549599999996</v>
      </c>
      <c r="G21" s="16" t="s">
        <v>16</v>
      </c>
      <c r="H21" s="16" t="s">
        <v>16</v>
      </c>
    </row>
    <row r="22" spans="1:8" x14ac:dyDescent="0.2">
      <c r="A22" s="13">
        <v>2024</v>
      </c>
      <c r="B22" s="14" t="s">
        <v>35</v>
      </c>
      <c r="C22" s="10" t="s">
        <v>23</v>
      </c>
      <c r="D22" s="16" t="s">
        <v>16</v>
      </c>
      <c r="E22" s="16" t="s">
        <v>16</v>
      </c>
      <c r="F22" s="18">
        <v>4.1793613199999999</v>
      </c>
      <c r="G22" s="16" t="s">
        <v>16</v>
      </c>
      <c r="H22" s="16" t="s">
        <v>16</v>
      </c>
    </row>
    <row r="23" spans="1:8" x14ac:dyDescent="0.2">
      <c r="A23" s="13">
        <v>2024</v>
      </c>
      <c r="B23" s="14" t="s">
        <v>36</v>
      </c>
      <c r="C23" s="10" t="s">
        <v>23</v>
      </c>
      <c r="D23" s="16" t="s">
        <v>16</v>
      </c>
      <c r="E23" s="16" t="s">
        <v>16</v>
      </c>
      <c r="F23" s="18">
        <v>1.2920715</v>
      </c>
      <c r="G23" s="16" t="s">
        <v>16</v>
      </c>
      <c r="H23" s="16" t="s">
        <v>16</v>
      </c>
    </row>
    <row r="24" spans="1:8" x14ac:dyDescent="0.2">
      <c r="A24" s="13">
        <v>2024</v>
      </c>
      <c r="B24" s="14" t="s">
        <v>34</v>
      </c>
      <c r="C24" s="10" t="s">
        <v>29</v>
      </c>
      <c r="D24" s="16" t="s">
        <v>16</v>
      </c>
      <c r="E24" s="16" t="s">
        <v>16</v>
      </c>
      <c r="F24" s="18">
        <v>410.73221988</v>
      </c>
      <c r="G24" s="16" t="s">
        <v>16</v>
      </c>
      <c r="H24" s="16" t="s">
        <v>16</v>
      </c>
    </row>
    <row r="25" spans="1:8" x14ac:dyDescent="0.2">
      <c r="A25" s="13">
        <v>2024</v>
      </c>
      <c r="B25" s="14" t="s">
        <v>35</v>
      </c>
      <c r="C25" s="10" t="s">
        <v>29</v>
      </c>
      <c r="D25" s="16" t="s">
        <v>16</v>
      </c>
      <c r="E25" s="16" t="s">
        <v>16</v>
      </c>
      <c r="F25" s="18">
        <v>462.3916266</v>
      </c>
      <c r="G25" s="16" t="s">
        <v>16</v>
      </c>
      <c r="H25" s="16" t="s">
        <v>16</v>
      </c>
    </row>
    <row r="26" spans="1:8" x14ac:dyDescent="0.2">
      <c r="A26" s="13">
        <v>2024</v>
      </c>
      <c r="B26" s="14" t="s">
        <v>36</v>
      </c>
      <c r="C26" s="10" t="s">
        <v>29</v>
      </c>
      <c r="D26" s="16" t="s">
        <v>16</v>
      </c>
      <c r="E26" s="16" t="s">
        <v>16</v>
      </c>
      <c r="F26" s="18">
        <v>438.18138540000001</v>
      </c>
      <c r="G26" s="16" t="s">
        <v>16</v>
      </c>
      <c r="H26" s="16" t="s">
        <v>16</v>
      </c>
    </row>
    <row r="27" spans="1:8" x14ac:dyDescent="0.2">
      <c r="A27" s="13">
        <v>2024</v>
      </c>
      <c r="B27" s="14" t="s">
        <v>34</v>
      </c>
      <c r="C27" s="10" t="s">
        <v>24</v>
      </c>
      <c r="D27" s="16" t="s">
        <v>16</v>
      </c>
      <c r="E27" s="16" t="s">
        <v>16</v>
      </c>
      <c r="F27" s="18">
        <v>200.11511160000001</v>
      </c>
      <c r="G27" s="16" t="s">
        <v>16</v>
      </c>
      <c r="H27" s="16" t="s">
        <v>16</v>
      </c>
    </row>
    <row r="28" spans="1:8" x14ac:dyDescent="0.2">
      <c r="A28" s="13">
        <v>2024</v>
      </c>
      <c r="B28" s="14" t="s">
        <v>35</v>
      </c>
      <c r="C28" s="10" t="s">
        <v>24</v>
      </c>
      <c r="D28" s="16" t="s">
        <v>16</v>
      </c>
      <c r="E28" s="16" t="s">
        <v>16</v>
      </c>
      <c r="F28" s="18">
        <v>210.77347445999999</v>
      </c>
      <c r="G28" s="16" t="s">
        <v>16</v>
      </c>
      <c r="H28" s="16" t="s">
        <v>16</v>
      </c>
    </row>
    <row r="29" spans="1:8" x14ac:dyDescent="0.2">
      <c r="A29" s="13">
        <v>2024</v>
      </c>
      <c r="B29" s="14" t="s">
        <v>36</v>
      </c>
      <c r="C29" s="10" t="s">
        <v>24</v>
      </c>
      <c r="D29" s="16" t="s">
        <v>16</v>
      </c>
      <c r="E29" s="16" t="s">
        <v>16</v>
      </c>
      <c r="F29" s="18">
        <v>196.29776088</v>
      </c>
      <c r="G29" s="16" t="s">
        <v>16</v>
      </c>
      <c r="H29" s="16" t="s">
        <v>16</v>
      </c>
    </row>
    <row r="30" spans="1:8" x14ac:dyDescent="0.2">
      <c r="A30" s="13">
        <v>2024</v>
      </c>
      <c r="B30" s="14" t="s">
        <v>34</v>
      </c>
      <c r="C30" s="10" t="s">
        <v>19</v>
      </c>
      <c r="D30" s="3" t="s">
        <v>16</v>
      </c>
      <c r="E30" s="4" t="s">
        <v>16</v>
      </c>
      <c r="F30" s="12">
        <v>1033.97744268</v>
      </c>
      <c r="G30" s="4" t="s">
        <v>16</v>
      </c>
      <c r="H30" s="4" t="s">
        <v>16</v>
      </c>
    </row>
    <row r="31" spans="1:8" x14ac:dyDescent="0.2">
      <c r="A31" s="13">
        <v>2024</v>
      </c>
      <c r="B31" s="14" t="s">
        <v>35</v>
      </c>
      <c r="C31" s="10" t="s">
        <v>19</v>
      </c>
      <c r="D31" s="3" t="s">
        <v>16</v>
      </c>
      <c r="E31" s="4" t="s">
        <v>16</v>
      </c>
      <c r="F31" s="12">
        <v>1179.097182</v>
      </c>
      <c r="G31" s="4" t="s">
        <v>16</v>
      </c>
      <c r="H31" s="4" t="s">
        <v>16</v>
      </c>
    </row>
    <row r="32" spans="1:8" x14ac:dyDescent="0.2">
      <c r="A32" s="13">
        <v>2024</v>
      </c>
      <c r="B32" s="14" t="s">
        <v>36</v>
      </c>
      <c r="C32" s="10" t="s">
        <v>19</v>
      </c>
      <c r="D32" s="3" t="s">
        <v>16</v>
      </c>
      <c r="E32" s="4" t="s">
        <v>16</v>
      </c>
      <c r="F32" s="12">
        <v>1124.6943673800001</v>
      </c>
      <c r="G32" s="4" t="s">
        <v>16</v>
      </c>
      <c r="H32" s="4" t="s">
        <v>16</v>
      </c>
    </row>
    <row r="33" spans="1:8" x14ac:dyDescent="0.2">
      <c r="A33" s="13">
        <v>2024</v>
      </c>
      <c r="B33" s="14" t="s">
        <v>34</v>
      </c>
      <c r="C33" s="10" t="s">
        <v>20</v>
      </c>
      <c r="D33" s="3" t="s">
        <v>16</v>
      </c>
      <c r="E33" s="4" t="s">
        <v>16</v>
      </c>
      <c r="F33" s="12">
        <v>9783.99259686</v>
      </c>
      <c r="G33" s="4" t="s">
        <v>16</v>
      </c>
      <c r="H33" s="4" t="s">
        <v>16</v>
      </c>
    </row>
    <row r="34" spans="1:8" x14ac:dyDescent="0.2">
      <c r="A34" s="13">
        <v>2024</v>
      </c>
      <c r="B34" s="14" t="s">
        <v>35</v>
      </c>
      <c r="C34" s="11" t="s">
        <v>20</v>
      </c>
      <c r="D34" s="3" t="s">
        <v>16</v>
      </c>
      <c r="E34" s="4" t="s">
        <v>16</v>
      </c>
      <c r="F34" s="12">
        <v>10992.546176219999</v>
      </c>
      <c r="G34" s="4" t="s">
        <v>16</v>
      </c>
      <c r="H34" s="4" t="s">
        <v>16</v>
      </c>
    </row>
    <row r="35" spans="1:8" x14ac:dyDescent="0.2">
      <c r="A35" s="13">
        <v>2024</v>
      </c>
      <c r="B35" s="14" t="s">
        <v>36</v>
      </c>
      <c r="C35" s="11" t="s">
        <v>20</v>
      </c>
      <c r="D35" s="3" t="s">
        <v>16</v>
      </c>
      <c r="E35" s="4" t="s">
        <v>16</v>
      </c>
      <c r="F35" s="12">
        <v>10290.908496780001</v>
      </c>
      <c r="G35" s="4" t="s">
        <v>16</v>
      </c>
      <c r="H35" s="4" t="s">
        <v>16</v>
      </c>
    </row>
    <row r="36" spans="1:8" x14ac:dyDescent="0.2">
      <c r="A36" s="13">
        <v>2024</v>
      </c>
      <c r="B36" s="14" t="s">
        <v>34</v>
      </c>
      <c r="C36" s="11" t="s">
        <v>30</v>
      </c>
      <c r="D36" s="3" t="s">
        <v>16</v>
      </c>
      <c r="E36" s="4" t="s">
        <v>16</v>
      </c>
      <c r="F36" s="12">
        <v>6.2950975199999997</v>
      </c>
      <c r="G36" s="4" t="s">
        <v>16</v>
      </c>
      <c r="H36" s="4" t="s">
        <v>16</v>
      </c>
    </row>
    <row r="37" spans="1:8" x14ac:dyDescent="0.2">
      <c r="A37" s="13">
        <v>2024</v>
      </c>
      <c r="B37" s="14" t="s">
        <v>35</v>
      </c>
      <c r="C37" s="11" t="s">
        <v>30</v>
      </c>
      <c r="D37" s="3" t="s">
        <v>16</v>
      </c>
      <c r="E37" s="4" t="s">
        <v>16</v>
      </c>
      <c r="F37" s="12">
        <v>5.3742268800000002</v>
      </c>
      <c r="G37" s="4" t="s">
        <v>16</v>
      </c>
      <c r="H37" s="4" t="s">
        <v>16</v>
      </c>
    </row>
    <row r="38" spans="1:8" x14ac:dyDescent="0.2">
      <c r="A38" s="13">
        <v>2024</v>
      </c>
      <c r="B38" s="14" t="s">
        <v>36</v>
      </c>
      <c r="C38" s="11" t="s">
        <v>30</v>
      </c>
      <c r="D38" s="3" t="s">
        <v>16</v>
      </c>
      <c r="E38" s="4" t="s">
        <v>16</v>
      </c>
      <c r="F38" s="12">
        <v>4.5447647400000006</v>
      </c>
      <c r="G38" s="4" t="s">
        <v>16</v>
      </c>
      <c r="H38" s="4" t="s">
        <v>16</v>
      </c>
    </row>
    <row r="39" spans="1:8" x14ac:dyDescent="0.2">
      <c r="A39" s="13">
        <v>2024</v>
      </c>
      <c r="B39" s="14" t="s">
        <v>34</v>
      </c>
      <c r="C39" s="11" t="s">
        <v>21</v>
      </c>
      <c r="D39" s="3" t="s">
        <v>16</v>
      </c>
      <c r="E39" s="4" t="s">
        <v>16</v>
      </c>
      <c r="F39" s="12">
        <v>1932.5734617600001</v>
      </c>
      <c r="G39" s="4" t="s">
        <v>16</v>
      </c>
      <c r="H39" s="4" t="s">
        <v>16</v>
      </c>
    </row>
    <row r="40" spans="1:8" x14ac:dyDescent="0.2">
      <c r="A40" s="13">
        <v>2024</v>
      </c>
      <c r="B40" s="14" t="s">
        <v>35</v>
      </c>
      <c r="C40" s="11" t="s">
        <v>21</v>
      </c>
      <c r="D40" s="3" t="s">
        <v>16</v>
      </c>
      <c r="E40" s="4" t="s">
        <v>16</v>
      </c>
      <c r="F40" s="12">
        <v>2310.8882747399998</v>
      </c>
      <c r="G40" s="4" t="s">
        <v>16</v>
      </c>
      <c r="H40" s="4" t="s">
        <v>16</v>
      </c>
    </row>
    <row r="41" spans="1:8" x14ac:dyDescent="0.2">
      <c r="A41" s="13">
        <v>2024</v>
      </c>
      <c r="B41" s="14" t="s">
        <v>36</v>
      </c>
      <c r="C41" s="11" t="s">
        <v>21</v>
      </c>
      <c r="D41" s="3" t="s">
        <v>16</v>
      </c>
      <c r="E41" s="4" t="s">
        <v>16</v>
      </c>
      <c r="F41" s="12">
        <v>2186.7243705000001</v>
      </c>
      <c r="G41" s="4" t="s">
        <v>16</v>
      </c>
      <c r="H41" s="4" t="s">
        <v>16</v>
      </c>
    </row>
    <row r="42" spans="1:8" x14ac:dyDescent="0.2">
      <c r="A42" s="13">
        <v>2024</v>
      </c>
      <c r="B42" s="14" t="s">
        <v>34</v>
      </c>
      <c r="C42" s="11" t="s">
        <v>31</v>
      </c>
      <c r="D42" s="3" t="s">
        <v>16</v>
      </c>
      <c r="E42" s="4" t="s">
        <v>16</v>
      </c>
      <c r="F42" s="12">
        <v>9.6749062200000004</v>
      </c>
      <c r="G42" s="4" t="s">
        <v>16</v>
      </c>
      <c r="H42" s="4" t="s">
        <v>16</v>
      </c>
    </row>
    <row r="43" spans="1:8" x14ac:dyDescent="0.2">
      <c r="A43" s="13">
        <v>2024</v>
      </c>
      <c r="B43" s="14" t="s">
        <v>35</v>
      </c>
      <c r="C43" s="11" t="s">
        <v>31</v>
      </c>
      <c r="D43" s="3" t="s">
        <v>16</v>
      </c>
      <c r="E43" s="4" t="s">
        <v>16</v>
      </c>
      <c r="F43" s="12">
        <v>10.18363158</v>
      </c>
      <c r="G43" s="4" t="s">
        <v>16</v>
      </c>
      <c r="H43" s="4" t="s">
        <v>16</v>
      </c>
    </row>
    <row r="44" spans="1:8" x14ac:dyDescent="0.2">
      <c r="A44" s="13">
        <v>2024</v>
      </c>
      <c r="B44" s="14" t="s">
        <v>36</v>
      </c>
      <c r="C44" s="11" t="s">
        <v>31</v>
      </c>
      <c r="D44" s="3" t="s">
        <v>16</v>
      </c>
      <c r="E44" s="4" t="s">
        <v>16</v>
      </c>
      <c r="F44" s="12">
        <v>11.2335282</v>
      </c>
      <c r="G44" s="4" t="s">
        <v>16</v>
      </c>
      <c r="H44" s="4" t="s">
        <v>16</v>
      </c>
    </row>
    <row r="45" spans="1:8" x14ac:dyDescent="0.2">
      <c r="A45" s="13">
        <v>2024</v>
      </c>
      <c r="B45" s="14" t="s">
        <v>34</v>
      </c>
      <c r="C45" s="11" t="s">
        <v>25</v>
      </c>
      <c r="D45" s="3" t="s">
        <v>16</v>
      </c>
      <c r="E45" s="4" t="s">
        <v>16</v>
      </c>
      <c r="F45" s="12">
        <v>337.82901659999999</v>
      </c>
      <c r="G45" s="4" t="s">
        <v>16</v>
      </c>
      <c r="H45" s="4" t="s">
        <v>16</v>
      </c>
    </row>
    <row r="46" spans="1:8" x14ac:dyDescent="0.2">
      <c r="A46" s="13">
        <v>2024</v>
      </c>
      <c r="B46" s="14" t="s">
        <v>35</v>
      </c>
      <c r="C46" s="11" t="s">
        <v>25</v>
      </c>
      <c r="D46" s="3" t="s">
        <v>16</v>
      </c>
      <c r="E46" s="4" t="s">
        <v>16</v>
      </c>
      <c r="F46" s="12">
        <v>446.99092487999997</v>
      </c>
      <c r="G46" s="4" t="s">
        <v>16</v>
      </c>
      <c r="H46" s="4" t="s">
        <v>16</v>
      </c>
    </row>
    <row r="47" spans="1:8" x14ac:dyDescent="0.2">
      <c r="A47" s="13">
        <v>2024</v>
      </c>
      <c r="B47" s="14" t="s">
        <v>36</v>
      </c>
      <c r="C47" s="11" t="s">
        <v>25</v>
      </c>
      <c r="D47" s="3" t="s">
        <v>16</v>
      </c>
      <c r="E47" s="4" t="s">
        <v>16</v>
      </c>
      <c r="F47" s="12">
        <v>398.22042204000002</v>
      </c>
      <c r="G47" s="4" t="s">
        <v>16</v>
      </c>
      <c r="H47" s="4" t="s">
        <v>16</v>
      </c>
    </row>
    <row r="48" spans="1:8" x14ac:dyDescent="0.2">
      <c r="A48" s="13">
        <v>2024</v>
      </c>
      <c r="B48" s="14" t="s">
        <v>34</v>
      </c>
      <c r="C48" s="11" t="s">
        <v>32</v>
      </c>
      <c r="D48" s="3" t="s">
        <v>16</v>
      </c>
      <c r="E48" s="4" t="s">
        <v>16</v>
      </c>
      <c r="F48" s="12">
        <v>12.23516772</v>
      </c>
      <c r="G48" s="4" t="s">
        <v>16</v>
      </c>
      <c r="H48" s="4" t="s">
        <v>16</v>
      </c>
    </row>
    <row r="49" spans="1:8" x14ac:dyDescent="0.2">
      <c r="A49" s="13">
        <v>2024</v>
      </c>
      <c r="B49" s="14" t="s">
        <v>35</v>
      </c>
      <c r="C49" s="11" t="s">
        <v>32</v>
      </c>
      <c r="D49" s="3" t="s">
        <v>16</v>
      </c>
      <c r="E49" s="4" t="s">
        <v>16</v>
      </c>
      <c r="F49" s="12">
        <v>34.813561320000005</v>
      </c>
      <c r="G49" s="4" t="s">
        <v>16</v>
      </c>
      <c r="H49" s="4" t="s">
        <v>16</v>
      </c>
    </row>
    <row r="50" spans="1:8" x14ac:dyDescent="0.2">
      <c r="A50" s="13">
        <v>2024</v>
      </c>
      <c r="B50" s="14" t="s">
        <v>36</v>
      </c>
      <c r="C50" s="11" t="s">
        <v>32</v>
      </c>
      <c r="D50" s="3" t="s">
        <v>16</v>
      </c>
      <c r="E50" s="4" t="s">
        <v>16</v>
      </c>
      <c r="F50" s="12">
        <v>17.224161299999999</v>
      </c>
      <c r="G50" s="4" t="s">
        <v>16</v>
      </c>
      <c r="H50" s="4" t="s">
        <v>16</v>
      </c>
    </row>
    <row r="51" spans="1:8" x14ac:dyDescent="0.2">
      <c r="A51" s="3">
        <v>2024</v>
      </c>
      <c r="B51" s="14" t="s">
        <v>34</v>
      </c>
      <c r="C51" s="11" t="s">
        <v>33</v>
      </c>
      <c r="D51" s="3" t="s">
        <v>16</v>
      </c>
      <c r="E51" s="4" t="s">
        <v>16</v>
      </c>
      <c r="F51" s="12">
        <v>0</v>
      </c>
      <c r="G51" s="4" t="s">
        <v>16</v>
      </c>
      <c r="H51" s="4" t="s">
        <v>16</v>
      </c>
    </row>
    <row r="52" spans="1:8" x14ac:dyDescent="0.2">
      <c r="A52" s="3">
        <v>2024</v>
      </c>
      <c r="B52" s="14" t="s">
        <v>35</v>
      </c>
      <c r="C52" s="11" t="s">
        <v>33</v>
      </c>
      <c r="D52" s="3" t="s">
        <v>16</v>
      </c>
      <c r="E52" s="4" t="s">
        <v>16</v>
      </c>
      <c r="F52" s="12">
        <v>0</v>
      </c>
      <c r="G52" s="4" t="s">
        <v>16</v>
      </c>
      <c r="H52" s="4" t="s">
        <v>16</v>
      </c>
    </row>
    <row r="53" spans="1:8" x14ac:dyDescent="0.2">
      <c r="A53" s="3">
        <v>2024</v>
      </c>
      <c r="B53" s="14" t="s">
        <v>36</v>
      </c>
      <c r="C53" s="11" t="s">
        <v>33</v>
      </c>
      <c r="D53" s="3" t="s">
        <v>16</v>
      </c>
      <c r="E53" s="4" t="s">
        <v>16</v>
      </c>
      <c r="F53" s="12">
        <v>3.2</v>
      </c>
      <c r="G53" s="4" t="s">
        <v>16</v>
      </c>
      <c r="H53" s="4" t="s">
        <v>16</v>
      </c>
    </row>
    <row r="54" spans="1:8" x14ac:dyDescent="0.2">
      <c r="C54" s="11"/>
      <c r="F54" s="12"/>
    </row>
    <row r="55" spans="1:8" x14ac:dyDescent="0.2">
      <c r="C55" s="11"/>
      <c r="F55" s="12">
        <f>SUM(F3:F53)</f>
        <v>53397.011132419997</v>
      </c>
    </row>
    <row r="56" spans="1:8" x14ac:dyDescent="0.2">
      <c r="C56" s="11"/>
      <c r="F56" s="12">
        <f>F55*4</f>
        <v>213588.04452967999</v>
      </c>
    </row>
    <row r="57" spans="1:8" x14ac:dyDescent="0.2">
      <c r="C57" s="11"/>
      <c r="F57" s="12"/>
    </row>
    <row r="58" spans="1:8" x14ac:dyDescent="0.2">
      <c r="C58" s="11"/>
      <c r="F58" s="12"/>
    </row>
    <row r="59" spans="1:8" x14ac:dyDescent="0.2">
      <c r="C59" s="11"/>
      <c r="F59" s="12"/>
    </row>
    <row r="60" spans="1:8" x14ac:dyDescent="0.2">
      <c r="C60" s="11"/>
      <c r="F60" s="12"/>
    </row>
    <row r="61" spans="1:8" x14ac:dyDescent="0.2">
      <c r="C61" s="11"/>
      <c r="F61" s="12"/>
    </row>
    <row r="62" spans="1:8" x14ac:dyDescent="0.2">
      <c r="C62" s="11"/>
      <c r="F62" s="12"/>
    </row>
    <row r="63" spans="1:8" x14ac:dyDescent="0.2">
      <c r="C63" s="11"/>
      <c r="F63" s="12"/>
    </row>
    <row r="64" spans="1:8" x14ac:dyDescent="0.2">
      <c r="C64" s="11"/>
      <c r="F64" s="12"/>
    </row>
    <row r="65" spans="3:6" x14ac:dyDescent="0.2">
      <c r="C65" s="11"/>
      <c r="F65" s="12"/>
    </row>
    <row r="66" spans="3:6" x14ac:dyDescent="0.2">
      <c r="C66" s="11"/>
      <c r="F66" s="12"/>
    </row>
    <row r="67" spans="3:6" x14ac:dyDescent="0.2">
      <c r="C67" s="11"/>
      <c r="F67" s="12"/>
    </row>
    <row r="68" spans="3:6" x14ac:dyDescent="0.2">
      <c r="C68" s="11"/>
      <c r="F68" s="12"/>
    </row>
    <row r="69" spans="3:6" x14ac:dyDescent="0.2">
      <c r="C69" s="11"/>
      <c r="F69" s="12"/>
    </row>
    <row r="70" spans="3:6" x14ac:dyDescent="0.2">
      <c r="C70" s="11"/>
      <c r="F70" s="12"/>
    </row>
    <row r="71" spans="3:6" x14ac:dyDescent="0.2">
      <c r="C71" s="11"/>
      <c r="F71" s="12"/>
    </row>
    <row r="72" spans="3:6" x14ac:dyDescent="0.2">
      <c r="C72" s="11"/>
      <c r="F72" s="12"/>
    </row>
    <row r="73" spans="3:6" x14ac:dyDescent="0.2">
      <c r="C73" s="11"/>
      <c r="F73" s="12"/>
    </row>
    <row r="74" spans="3:6" x14ac:dyDescent="0.2">
      <c r="C74" s="11"/>
      <c r="F74" s="12"/>
    </row>
    <row r="75" spans="3:6" x14ac:dyDescent="0.2">
      <c r="C75" s="11"/>
      <c r="F75" s="12"/>
    </row>
    <row r="76" spans="3:6" x14ac:dyDescent="0.2">
      <c r="C76" s="11"/>
      <c r="F76" s="12"/>
    </row>
    <row r="77" spans="3:6" x14ac:dyDescent="0.2">
      <c r="C77" s="11"/>
      <c r="F77" s="12"/>
    </row>
    <row r="78" spans="3:6" x14ac:dyDescent="0.2">
      <c r="C78" s="11"/>
      <c r="F78" s="12"/>
    </row>
    <row r="79" spans="3:6" x14ac:dyDescent="0.2">
      <c r="C79" s="11"/>
    </row>
    <row r="80" spans="3:6" x14ac:dyDescent="0.2">
      <c r="C80" s="11"/>
    </row>
    <row r="81" spans="3:3" x14ac:dyDescent="0.2">
      <c r="C81" s="11"/>
    </row>
    <row r="82" spans="3:3" x14ac:dyDescent="0.2">
      <c r="C82" s="11"/>
    </row>
    <row r="83" spans="3:3" x14ac:dyDescent="0.2">
      <c r="C83" s="11"/>
    </row>
    <row r="84" spans="3:3" x14ac:dyDescent="0.2">
      <c r="C84" s="11"/>
    </row>
    <row r="85" spans="3:3" x14ac:dyDescent="0.2">
      <c r="C85" s="11"/>
    </row>
    <row r="86" spans="3:3" x14ac:dyDescent="0.2">
      <c r="C86" s="11"/>
    </row>
  </sheetData>
  <autoFilter ref="A2:H53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R019-01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Juarez Lopez</cp:lastModifiedBy>
  <dcterms:created xsi:type="dcterms:W3CDTF">2016-05-06T00:44:34Z</dcterms:created>
  <dcterms:modified xsi:type="dcterms:W3CDTF">2025-02-15T02:15:51Z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